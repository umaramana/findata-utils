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N\fractals\VibeCoding\ClaudeCode\docs\"/>
    </mc:Choice>
  </mc:AlternateContent>
  <xr:revisionPtr revIDLastSave="0" documentId="13_ncr:1_{F1AD2908-F288-4B86-AEE1-59379381E8EF}" xr6:coauthVersionLast="47" xr6:coauthVersionMax="47" xr10:uidLastSave="{00000000-0000-0000-0000-000000000000}"/>
  <bookViews>
    <workbookView xWindow="-120" yWindow="-120" windowWidth="29040" windowHeight="15720" firstSheet="2" activeTab="6" xr2:uid="{814581B4-0B3F-47C1-A026-55FC169981C5}"/>
  </bookViews>
  <sheets>
    <sheet name="Pivot - Bank Exp" sheetId="5" r:id="rId1"/>
    <sheet name="Pivot - Bank Rev" sheetId="2" r:id="rId2"/>
    <sheet name="Income_Expense" sheetId="7" r:id="rId3"/>
    <sheet name="Bank Activity" sheetId="10" r:id="rId4"/>
    <sheet name="Pivot - CC Expenses" sheetId="4" r:id="rId5"/>
    <sheet name="Lookup" sheetId="11" r:id="rId6"/>
    <sheet name="All Transactions" sheetId="12" r:id="rId7"/>
    <sheet name="Credit Card Expenses" sheetId="3" r:id="rId8"/>
    <sheet name="Tax Return" sheetId="8" r:id="rId9"/>
  </sheets>
  <calcPr calcId="191029"/>
  <pivotCaches>
    <pivotCache cacheId="0" r:id="rId10"/>
    <pivotCache cacheId="1" r:id="rId11"/>
    <pivotCache cacheId="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7" l="1"/>
</calcChain>
</file>

<file path=xl/sharedStrings.xml><?xml version="1.0" encoding="utf-8"?>
<sst xmlns="http://schemas.openxmlformats.org/spreadsheetml/2006/main" count="3134" uniqueCount="611">
  <si>
    <t>Details</t>
  </si>
  <si>
    <t>Posting Date</t>
  </si>
  <si>
    <t>Description</t>
  </si>
  <si>
    <t>Amount</t>
  </si>
  <si>
    <t>Type</t>
  </si>
  <si>
    <t>Balance</t>
  </si>
  <si>
    <t>Check or Slip #</t>
  </si>
  <si>
    <t>DEBIT</t>
  </si>
  <si>
    <t>ACH_DEBIT</t>
  </si>
  <si>
    <t>ACCT_XFER</t>
  </si>
  <si>
    <t>CREDIT</t>
  </si>
  <si>
    <t>Zelle payment from CHRISTINA ALFARO BACp7uugzhin</t>
  </si>
  <si>
    <t>PARTNERFI_TO_CHASE</t>
  </si>
  <si>
    <t>CHECK</t>
  </si>
  <si>
    <t>CHECK_PAID</t>
  </si>
  <si>
    <t>DSLIP</t>
  </si>
  <si>
    <t>REMOTE ONLINE DEPOSIT #          1</t>
  </si>
  <si>
    <t>CHECK_DEPOSIT</t>
  </si>
  <si>
    <t>ATM CHECK DEPOSIT 11/19 2245 31ST ST ASTORIA NY</t>
  </si>
  <si>
    <t>ATM_DEPOSIT</t>
  </si>
  <si>
    <t>CHECK 713  11/18</t>
  </si>
  <si>
    <t>Zelle payment from CHRISTINA ALFARO BACre1dicuhd</t>
  </si>
  <si>
    <t>DEPOSIT  ID NUMBER  84045</t>
  </si>
  <si>
    <t>DEPOSIT</t>
  </si>
  <si>
    <t>CHECK 704  10/21</t>
  </si>
  <si>
    <t>Zelle payment from THORNHEDGE GROUP LLC-SERIES B 22400133940</t>
  </si>
  <si>
    <t>QUICKPAY_CREDIT</t>
  </si>
  <si>
    <t>Zelle payment from ART OF METALS CONTRACTORS CORP 22362290024</t>
  </si>
  <si>
    <t>Zelle payment from THORNHEDGE GROUP LLC-SERIES B 22389778826</t>
  </si>
  <si>
    <t>ATM CHECK DEPOSIT 10/14 2245 31ST ST ASTORIA NY</t>
  </si>
  <si>
    <t>Zelle payment from THORNHEDGE GROUP LLC-SERIES B 22204361403</t>
  </si>
  <si>
    <t>Zelle payment from THORNHEDGE GROUP LLC-SERIES B 22186930194</t>
  </si>
  <si>
    <t>Zelle payment from THORNHEDGE GROUP LLC-SERIES B 22186885841</t>
  </si>
  <si>
    <t>Online Transfer from CHK ...9199 transaction#: 22110230818</t>
  </si>
  <si>
    <t>CHECK 989  09/18</t>
  </si>
  <si>
    <t>ATM CHECK DEPOSIT 09/09 204 W 4TH ST NEW YORK NY</t>
  </si>
  <si>
    <t>Zelle payment from ZH ARCHITECTS P.C. 21847348016</t>
  </si>
  <si>
    <t>ATM CHECK DEPOSIT 08/26 1003 LEXINGTON AVE NEW YORK NY</t>
  </si>
  <si>
    <t>CHECK 983  08/22</t>
  </si>
  <si>
    <t>Zelle payment from CHRISTINA R ALFARO 21794857316</t>
  </si>
  <si>
    <t>Zelle payment from ZH ARCHITECTS P.C. 21739203535</t>
  </si>
  <si>
    <t>Zelle payment from ZH ARCHITECTS P.C. 21725956804</t>
  </si>
  <si>
    <t>CHECK 978  07/24</t>
  </si>
  <si>
    <t>Zelle payment from CHRISTINA ALFARO BACmcfs2rwfg</t>
  </si>
  <si>
    <t>ATM CHECK DEPOSIT 07/03 3818 BROADWAY ASTORIA NY</t>
  </si>
  <si>
    <t>CHECK 971  06/24</t>
  </si>
  <si>
    <t>Zelle payment from FRIENDS' HOME ASSOCIATION OF NEW YORK 21153304410</t>
  </si>
  <si>
    <t>Zelle payment from FRIENDS' HOME ASSOCIATION OF NEW YORK 21145063946</t>
  </si>
  <si>
    <t>Zelle payment from FRIENDS' HOME ASSOCIATION OF NEW YORK 21134045418</t>
  </si>
  <si>
    <t>Online Transfer from CHK ...9199 transaction#: 21116226877</t>
  </si>
  <si>
    <t>Online Transfer from CHK ...9199 transaction#: 21072972910</t>
  </si>
  <si>
    <t>Online Transfer from CHK ...9199 transaction#: 20872220389</t>
  </si>
  <si>
    <t>CHECK 964  05/16</t>
  </si>
  <si>
    <t>Zelle payment from CHRISTINA ALFARO BACmx2q1gult</t>
  </si>
  <si>
    <t>CHECK 956  04/15</t>
  </si>
  <si>
    <t>Zelle payment from LAWRENCE MAISEL BACtngolvogt</t>
  </si>
  <si>
    <t>Refund of Overdraft Fee charged on 01/31/2023</t>
  </si>
  <si>
    <t>REFUND_TRANSACTION</t>
  </si>
  <si>
    <t>Zelle payment from CHRISTINA ALFARO BACpxhlp821i</t>
  </si>
  <si>
    <t>FEE REVERSAL</t>
  </si>
  <si>
    <t>Zelle payment from CHRISTINA ALFARO BACqf6dq62bh</t>
  </si>
  <si>
    <t>Online Transfer from CHK ...9199 transaction#: 20056029668</t>
  </si>
  <si>
    <t>Online Transfer from CHK ...9199 transaction#: 19976955522</t>
  </si>
  <si>
    <t>Zelle payment from CHRISTINA ALFARO BACk5mxeax40</t>
  </si>
  <si>
    <t>Zelle payment from Lawrence Ennis MSPXMN3ZOq76</t>
  </si>
  <si>
    <t>Zelle payment from CHRISTINA ALFARO BACeu8y2zmhr</t>
  </si>
  <si>
    <t>Monthly Service Fee Reversal January 2024</t>
  </si>
  <si>
    <t>Zelle payment from CHRISTINA ALFARO BAClv8sywyzv</t>
  </si>
  <si>
    <t>Online Transfer from CHK ...9199 transaction#: 19706632049</t>
  </si>
  <si>
    <t>Zelle payment from Lawrence Ennis MSPLLFNPaaWa</t>
  </si>
  <si>
    <t>Online Transfer from CHK ...9199 transaction#: 19541185020</t>
  </si>
  <si>
    <t>Zelle payment from CHRISTINA ALFARO BACnhv8ap2sd</t>
  </si>
  <si>
    <t>Sum of Amount</t>
  </si>
  <si>
    <t>Row Labels</t>
  </si>
  <si>
    <t>Grand Total</t>
  </si>
  <si>
    <t>Bank Account</t>
  </si>
  <si>
    <t>Chase0117</t>
  </si>
  <si>
    <t>OldAcct</t>
  </si>
  <si>
    <t>ORIG CO NAME:PAYPAL                 ORIG ID:PAYPALRD33 DESC DATE:241225 CO ENTRY DESCR:ACCTVERIFYSEC:PPD    TRACE#:021000029464759 EED:241226   IND ID:                             IND NAME:EDWIN CACERES TRN: 3619464759TC</t>
  </si>
  <si>
    <t>ACH_CREDIT</t>
  </si>
  <si>
    <t>ORIG CO NAME:PAYPAL                 ORIG ID:PAYPALRD33 DESC DATE:241225 CO ENTRY DESCR:ACCTVERIFYSEC:PPD    TRACE#:021000029464760 EED:241226   IND ID:                             IND NAME:EDWIN CACERES TRN: 3619464760TC</t>
  </si>
  <si>
    <t>ORIG CO NAME:PAYPAL                 ORIG ID:PAYPALRD33 DESC DATE:241224 CO ENTRY DESCR:ACCTVERIFYSEC:PPD    TRACE#:021000021415088 EED:241224   IND ID:                             IND NAME:EDWIN CACERES TRN: 3591415088TC</t>
  </si>
  <si>
    <t>CHECK 1576  12/23</t>
  </si>
  <si>
    <t>BALANCE TRANSFER CREDIT</t>
  </si>
  <si>
    <t>MISC_CREDIT</t>
  </si>
  <si>
    <t>Chase3789</t>
  </si>
  <si>
    <t>NewAcct</t>
  </si>
  <si>
    <t>Fee</t>
  </si>
  <si>
    <t>Fees &amp; Adjustments</t>
  </si>
  <si>
    <t>PURCHASE INTEREST CHARGE</t>
  </si>
  <si>
    <t>Sale</t>
  </si>
  <si>
    <t>Travel</t>
  </si>
  <si>
    <t>NYCDOT PARKING METERS</t>
  </si>
  <si>
    <t>Gas</t>
  </si>
  <si>
    <t>EXXON ASTORIA 44TH ST SER</t>
  </si>
  <si>
    <t>Repair &amp; Maintenance</t>
  </si>
  <si>
    <t>G&amp;amp;G ELECTRIC SUPPLY CO -</t>
  </si>
  <si>
    <t>CHINA TOWN BUILDING SUPPL</t>
  </si>
  <si>
    <t>Office &amp; Shipping</t>
  </si>
  <si>
    <t>TRIBORO PRINTING CORP</t>
  </si>
  <si>
    <t>LATE FEE</t>
  </si>
  <si>
    <t>THE HOME DEPOT 6844</t>
  </si>
  <si>
    <t>Bills &amp; Utilities</t>
  </si>
  <si>
    <t>Spectrum</t>
  </si>
  <si>
    <t>NEMO TILE CO. INC.</t>
  </si>
  <si>
    <t>Payment</t>
  </si>
  <si>
    <t>Payment Thank You-Mobile</t>
  </si>
  <si>
    <t>THE HOME DEPOT #6844</t>
  </si>
  <si>
    <t>THE HOME DEPOT 1255</t>
  </si>
  <si>
    <t>Professional Services</t>
  </si>
  <si>
    <t>APB BUILDERS</t>
  </si>
  <si>
    <t>AUTOMATIC PAYMENT - THANK</t>
  </si>
  <si>
    <t>Reversal</t>
  </si>
  <si>
    <t>Returned Payment</t>
  </si>
  <si>
    <t>Payment Thank You - 2nd A</t>
  </si>
  <si>
    <t>HAFELE AMERICA CO</t>
  </si>
  <si>
    <t>SHERWIN WILLIAMS 701838</t>
  </si>
  <si>
    <t>1000BULBS.COM</t>
  </si>
  <si>
    <t>Automotive</t>
  </si>
  <si>
    <t>AMERICANTRUCKS.COM</t>
  </si>
  <si>
    <t>THE HOME DEPOT #1220</t>
  </si>
  <si>
    <t>Memo</t>
  </si>
  <si>
    <t>Category</t>
  </si>
  <si>
    <t>Post Date</t>
  </si>
  <si>
    <t>Transaction Date</t>
  </si>
  <si>
    <t>Card</t>
  </si>
  <si>
    <t>(blank)</t>
  </si>
  <si>
    <t>Fee Reversal</t>
  </si>
  <si>
    <t>Income</t>
  </si>
  <si>
    <t>Refund</t>
  </si>
  <si>
    <t>Expense</t>
  </si>
  <si>
    <t>COGS</t>
  </si>
  <si>
    <t>Notes</t>
  </si>
  <si>
    <t>Insurance</t>
  </si>
  <si>
    <t>Services</t>
  </si>
  <si>
    <t>Payroll</t>
  </si>
  <si>
    <t>Bank Fees</t>
  </si>
  <si>
    <t>Subscriptions</t>
  </si>
  <si>
    <t>Taxes</t>
  </si>
  <si>
    <t>Tolls</t>
  </si>
  <si>
    <t>Supplies</t>
  </si>
  <si>
    <t>Fees</t>
  </si>
  <si>
    <t>Auto Loan</t>
  </si>
  <si>
    <t>Colin &amp; Christina's Notes</t>
  </si>
  <si>
    <t>Paid refund back to client</t>
  </si>
  <si>
    <t>Add Rent Expense</t>
  </si>
  <si>
    <t>2300 per month x 12</t>
  </si>
  <si>
    <t>Tax Year 2023</t>
  </si>
  <si>
    <t>Tax Year 2022</t>
  </si>
  <si>
    <t>Difference</t>
  </si>
  <si>
    <t>Materials</t>
  </si>
  <si>
    <t>Labor</t>
  </si>
  <si>
    <t>Gross Profit</t>
  </si>
  <si>
    <t>Compensation of Officers</t>
  </si>
  <si>
    <t>Salaries &amp; Wages</t>
  </si>
  <si>
    <t>Rents</t>
  </si>
  <si>
    <t>Taxes &amp; Licenses</t>
  </si>
  <si>
    <t>Payroll Taxes</t>
  </si>
  <si>
    <t>NYS Tax/NYC Tax</t>
  </si>
  <si>
    <t>Other Deductions</t>
  </si>
  <si>
    <t>Automobile &amp; Truck Charges</t>
  </si>
  <si>
    <t>Car Insurance</t>
  </si>
  <si>
    <t>Car Payment</t>
  </si>
  <si>
    <t>Bank Charges</t>
  </si>
  <si>
    <t>Legal &amp; Professional Fees</t>
  </si>
  <si>
    <t>Office &amp; Misc Expense</t>
  </si>
  <si>
    <t>Utilities</t>
  </si>
  <si>
    <t>Trash Removal</t>
  </si>
  <si>
    <t>Cell Phone</t>
  </si>
  <si>
    <t>Office Maintenance</t>
  </si>
  <si>
    <t>Total Other Deductions</t>
  </si>
  <si>
    <t>Net Income</t>
  </si>
  <si>
    <t>Tax Year 2024</t>
  </si>
  <si>
    <t>Dues &amp; Subscriptions</t>
  </si>
  <si>
    <t>ATM CHECK DEPOSIT 07/03 3818 BROADWAY an</t>
  </si>
  <si>
    <t>ATM CHECK DEPOSIT 10/14 2245 31ST ST an</t>
  </si>
  <si>
    <t>ATM CHECK DEPOSIT 11/19 2245 31ST ST an</t>
  </si>
  <si>
    <t>ATM CHECK DEPOSIT 08/26 1003 LEXINGTON AVE n</t>
  </si>
  <si>
    <t>ATM CHECK DEPOSIT 09/09 204 W 4TH ST n</t>
  </si>
  <si>
    <t>tag</t>
  </si>
  <si>
    <t>Automobile and truck expense</t>
  </si>
  <si>
    <t>Fuel</t>
  </si>
  <si>
    <t>Office expense</t>
  </si>
  <si>
    <t>Legal and Professional</t>
  </si>
  <si>
    <t>Repairs and maintenance</t>
  </si>
  <si>
    <t>Postage/shipping</t>
  </si>
  <si>
    <t>Permits and fees</t>
  </si>
  <si>
    <t>Online Transfer to  CHK ...9199 transaction#: 23146306732 12/30</t>
  </si>
  <si>
    <t>Online Transfer to  CHK ...9199 transaction#: 23112489788 12/27</t>
  </si>
  <si>
    <t>Online Transfer to  CHK ...9199 transaction#: 23113606209 12/27</t>
  </si>
  <si>
    <t xml:space="preserve">CHECK 1581  </t>
  </si>
  <si>
    <t>Online Transfer to  CHK ...9199 transaction#: 23068110348 12/23</t>
  </si>
  <si>
    <t>ORIG CO NAME:TD AUTO FINANCE        ORIG ID:8202614244 DESC DATE:241222 CO ENTRY DESCR:LOAN PYMT SEC:WEB    TRACE#:211274457130490 EED:241223   IND ID:002901103710435              IND NAME:DEVLIN INTERIORS INC TRN: 3587130490TC</t>
  </si>
  <si>
    <t>Online Transfer to  CHK ...9199 transaction#: 23035124858 12/20</t>
  </si>
  <si>
    <t>Online Transfer to  CHK ...9199 transaction#: 23033439024 12/20</t>
  </si>
  <si>
    <t>APPLE.COM/BILL 866-712-7753 CA               12/20</t>
  </si>
  <si>
    <t>DEBIT_CARD</t>
  </si>
  <si>
    <t xml:space="preserve">CHECK 1580  </t>
  </si>
  <si>
    <t>ATM WITHDRAWAL                       004127  12/197104 WOOD</t>
  </si>
  <si>
    <t>ATM</t>
  </si>
  <si>
    <t>ORIG CO NAME:CHS payrol  6760       ORIG ID:9IA0517397 DESC DATE:241219 CO ENTRY DESCR:BILLING   SEC:CCD    TRACE#:091311179810053 EED:241219   IND ID:842024147                    IND NAME:Devlin Interiors Inc                                                                                         INVOICE TRN: 3549810053TC</t>
  </si>
  <si>
    <t>ORIG CO NAME:CHS payrol  6760       ORIG ID:9IB0517397 DESC DATE:241219 CO ENTRY DESCR:TAX IMPOUNSEC:CCD    TRACE#:091311179810669 EED:241219   IND ID:842024147                    IND NAME:Devlin Interiors Inc                                                                                         TAX IMPOUND TRN: 3549810669TC</t>
  </si>
  <si>
    <t>CHECK 1578  12/17</t>
  </si>
  <si>
    <t>SQSP* INV161700158 HTTPSSQUARESP NY          12/17</t>
  </si>
  <si>
    <t xml:space="preserve">CHECK 1577  </t>
  </si>
  <si>
    <t>ATM WITHDRAWAL                       003652  12/167104 WOOD</t>
  </si>
  <si>
    <t>Online Transfer to  CHK ...9199 transaction#: 22990527176 12/16</t>
  </si>
  <si>
    <t>Zelle payment to Alfredo 23040850545</t>
  </si>
  <si>
    <t>QUICKPAY_DEBIT</t>
  </si>
  <si>
    <t>ATM WITHDRAWAL                       008827  12/132245 31ST</t>
  </si>
  <si>
    <t>Online Transfer to  CHK ...9199 transaction#: 22958922176 12/13</t>
  </si>
  <si>
    <t>Online Transfer to  CHK ...9199 transaction#: 22957884497 12/13</t>
  </si>
  <si>
    <t>E-Z*PASSNY PAYMENT 800-333-8655 NY           12/13</t>
  </si>
  <si>
    <t>ATM WITHDRAWAL                       004534  12/127104 WOOD</t>
  </si>
  <si>
    <t>ORIG CO NAME:CHS payrol  6760       ORIG ID:9IA0517397 DESC DATE:241212 CO ENTRY DESCR:BILLING   SEC:CCD    TRACE#:091311173490835 EED:241212   IND ID:842024147                    IND NAME:Devlin Interiors Inc                                                                                         INVOICE TRN: 3473490835TC</t>
  </si>
  <si>
    <t>ORIG CO NAME:CHS payrol  6760       ORIG ID:9IB0517397 DESC DATE:241212 CO ENTRY DESCR:TAX IMPOUNSEC:CCD    TRACE#:091311173490771 EED:241212   IND ID:842024147                    IND NAME:Devlin Interiors Inc                                                                                         TAX IMPOUND TRN: 3473490771TC</t>
  </si>
  <si>
    <t>ORIG CO NAME:CHS Payrol0040Qd       ORIG ID:9IF0517397 DESC DATE:241210 CO ENTRY DESCR:Tax Impou SEC:CCD    TRACE#:091311175918405 EED:241211   IND ID:84-2024147                   IND NAME:Devlin Interiors Inc                                                                                         TAX IMPOUND MAN TRN: 3465918405TC</t>
  </si>
  <si>
    <t>ORIG CO NAME:CHS Payrol0040Qd       ORIG ID:9IF0517397 DESC DATE:241210 CO ENTRY DESCR:Tax Impou SEC:CCD    TRACE#:091311175918403 EED:241211   IND ID:84-2024147                   IND NAME:Devlin Interiors Inc                                                                                         TAX IMPOUND MAN TRN: 3465918403TC</t>
  </si>
  <si>
    <t>ORIG CO NAME:NYS DTF BILL PYT       ORIG ID:E146013200 DESC DATE:       CO ENTRY DESCR:Tax PaymntSEC:CCD    TRACE#:091000014940679 EED:241211   IND ID:000000121035881              IND NAME:M62193504101224 TRN: 3464940679TC</t>
  </si>
  <si>
    <t>ORIG CO NAME:CHECK OR SUPPLY        ORIG ID:1410216800 DESC DATE:241206 CO ENTRY DESCR:ORDER     SEC:PPD    TRACE#:042000011997573 EED:241210   IND ID:                             IND NAME:DEVLIN INTERIORS INC TRN: 3451997573TC</t>
  </si>
  <si>
    <t>FEE_TRANSACTION</t>
  </si>
  <si>
    <t>Online Transfer to  CHK ...9199 transaction#: 22909176092 12/09</t>
  </si>
  <si>
    <t>APPLE COM BILL CUPERTINO CA          795813  12/08</t>
  </si>
  <si>
    <t>ATM WITHDRAWAL                       008078  12/072245 31ST</t>
  </si>
  <si>
    <t>Online Transfer to  CHK ...9199 transaction#: 22871776405 12/06</t>
  </si>
  <si>
    <t>Online Transfer to  CHK ...9199 transaction#: 22947345602 12/06</t>
  </si>
  <si>
    <t>BALANCE TRANSFER DEBIT</t>
  </si>
  <si>
    <t>MISC_DEBIT</t>
  </si>
  <si>
    <t>ORIG CO NAME:AMERICAN EXPRESS       ORIG ID:9493560001 DESC DATE:241202 CO ENTRY DESCR:ACH PMT   SEC:CCD    TRACE#:021000024567003 EED:241202   IND ID:A8746                        IND NAME:colin devlin                                                                                                 AM TRN: 3374567003TC</t>
  </si>
  <si>
    <t>Online Transfer to  CHK ...9199 transaction#: 22829952204 12/02</t>
  </si>
  <si>
    <t>STATE FARM  INSURANCE 800-956-6310 IL        11/29</t>
  </si>
  <si>
    <t>Online Transfer to  CHK ...9199 transaction#: 22798564657 11/29</t>
  </si>
  <si>
    <t>ORIG CO NAME:CHS payrol  6760       ORIG ID:9IA0517397 DESC DATE:241129 CO ENTRY DESCR:BILLING   SEC:CCD    TRACE#:091311176596758 EED:241129   IND ID:842024147                    IND NAME:Devlin Interiors Inc                                                                                         INVOICE TRN: 3346596758TC</t>
  </si>
  <si>
    <t>ORIG CO NAME:CHS payrol  6760       ORIG ID:9IB0517397 DESC DATE:241129 CO ENTRY DESCR:TAX IMPOUNSEC:CCD    TRACE#:091311176597130 EED:241129   IND ID:842024147                    IND NAME:Devlin Interiors Inc                                                                                         TAX IMPOUND TRN: 3346597130TC</t>
  </si>
  <si>
    <t xml:space="preserve">CHECK 717  </t>
  </si>
  <si>
    <t>ORIG CO NAME:AMERICAN EXPRESS       ORIG ID:9493560001 DESC DATE:241127 CO ENTRY DESCR:ACH PMT   SEC:CCD    TRACE#:021000028652499 EED:241127   IND ID:A3732                        IND NAME:colin devlin                                                                                                 AM TRN: 3328652499TC</t>
  </si>
  <si>
    <t xml:space="preserve">CHECK 716  </t>
  </si>
  <si>
    <t xml:space="preserve">CHECK 710  </t>
  </si>
  <si>
    <t>ORIG CO NAME:AMERICAN EXPRESS       ORIG ID:9493560001 DESC DATE:241125 CO ENTRY DESCR:ACH PMT   SEC:CCD    TRACE#:021000028891615 EED:241125   IND ID:A0116                        IND NAME:colin devlin                                                                                                 AM TRN: 3308891615TC</t>
  </si>
  <si>
    <t>ATM WITHDRAWAL                       001028  11/257104 WOOD</t>
  </si>
  <si>
    <t>Online Transfer to  CHK ...9199 transaction#: 22756349632 11/25</t>
  </si>
  <si>
    <t>Payment to Chase card ending in 3909 11/22</t>
  </si>
  <si>
    <t>LOAN_PMT</t>
  </si>
  <si>
    <t>Online Transfer to  CHK ...9199 transaction#: 22778352525 11/22</t>
  </si>
  <si>
    <t xml:space="preserve">CHECK 1000  </t>
  </si>
  <si>
    <t>FSI*TD AUTO FINANCE 888-939-9876 MI          11/21</t>
  </si>
  <si>
    <t>ORIG CO NAME:CHS payrol  6760       ORIG ID:9IA0517397 DESC DATE:241121 CO ENTRY DESCR:BILLING   SEC:CCD    TRACE#:091311173717021 EED:241121   IND ID:842024147                    IND NAME:Devlin Interiors Inc                                                                                         INVOICE TRN: 3263717021TC</t>
  </si>
  <si>
    <t>ORIG CO NAME:CHS payrol  6760       ORIG ID:9IB0517397 DESC DATE:241121 CO ENTRY DESCR:TAX IMPOUNSEC:CCD    TRACE#:091311173717548 EED:241121   IND ID:842024147                    IND NAME:Devlin Interiors Inc                                                                                         TAX IMPOUND TRN: 3263717548TC</t>
  </si>
  <si>
    <t>APPLE.COM/BILL 866-712-7753 CA               11/20</t>
  </si>
  <si>
    <t>TERRA SUPPLY 718-965-9000 NY                 11/19</t>
  </si>
  <si>
    <t>ATM WITHDRAWAL                       000651  11/192245 31ST</t>
  </si>
  <si>
    <t>AMAZON MKTPL*FW4VP6W Amzn.com/bill WA        11/18</t>
  </si>
  <si>
    <t>ORIG CO NAME:AMERICAN EXPRESS       ORIG ID:9493560001 DESC DATE:241118 CO ENTRY DESCR:ACH PMT   SEC:CCD    TRACE#:021000028736148 EED:241118   IND ID:A0192                        IND NAME:colin devlin                                                                                                 AM TRN: 3238736148TC</t>
  </si>
  <si>
    <t>Online Transfer to  CHK ...9199 transaction#: 22650479535 11/18</t>
  </si>
  <si>
    <t>ATM WITHDRAWAL                       002883  11/162245 31ST</t>
  </si>
  <si>
    <t>AMAZON MKTPL*W05TN06 Amzn.com/bill WA        11/16</t>
  </si>
  <si>
    <t>ATM WITHDRAWAL                       008386  11/152245 31ST</t>
  </si>
  <si>
    <t>Payment to Chase card ending in 6289 11/15</t>
  </si>
  <si>
    <t>Online Transfer to  CHK ...9199 transaction#: 22701581178 11/15</t>
  </si>
  <si>
    <t xml:space="preserve">CHECK 712  </t>
  </si>
  <si>
    <t xml:space="preserve">CHECK 708  </t>
  </si>
  <si>
    <t xml:space="preserve">CHECK 711  </t>
  </si>
  <si>
    <t>ORIG CO NAME:CHS payrol  6760       ORIG ID:9IA0517397 DESC DATE:241114 CO ENTRY DESCR:BILLING   SEC:CCD    TRACE#:091311172381516 EED:241114   IND ID:842024147                    IND NAME:Devlin Interiors Inc                                                                                         INVOICE TRN: 3192381516TC</t>
  </si>
  <si>
    <t>ORIG CO NAME:CHS payrol  6760       ORIG ID:9IB0517397 DESC DATE:241114 CO ENTRY DESCR:TAX IMPOUNSEC:CCD    TRACE#:091311172380911 EED:241114   IND ID:842024147                    IND NAME:Devlin Interiors Inc                                                                                         TAX IMPOUND TRN: 3192380911TC</t>
  </si>
  <si>
    <t>ORIG CO NAME:E-ZPASS REBILL         ORIG ID:0000284343 DESC DATE:241110 CO ENTRY DESCR:EZP REBILLSEC:WEB    TRACE#:021000026605099 EED:241112   IND ID:6754316                      IND NAME:COLIN *DEVLIN                                                                                                800-333-8655 TRN: 3176605099TC</t>
  </si>
  <si>
    <t>ORIG CO NAME:AMERICAN EXPRESS       ORIG ID:9493560001 DESC DATE:241112 CO ENTRY DESCR:ACH PMT   SEC:CCD    TRACE#:021000029005296 EED:241112   IND ID:A1620                        IND NAME:colin devlin                                                                                                 AM TRN: 3179005296TC</t>
  </si>
  <si>
    <t>ATM WITHDRAWAL                       006693  11/112245 31ST</t>
  </si>
  <si>
    <t>WITHDRAWAL 11/08</t>
  </si>
  <si>
    <t>ATM WITHDRAWAL                       004843  11/082245 31ST</t>
  </si>
  <si>
    <t>Online Transfer to  CHK ...9199 transaction#: 22632609136 11/08</t>
  </si>
  <si>
    <t>APPLE COM BILL CUPERTINO CA          860357  11/08</t>
  </si>
  <si>
    <t>ATM WITHDRAWAL                       009165  11/073818 BROA</t>
  </si>
  <si>
    <t>ORIG CO NAME:CHS payrol  6760       ORIG ID:9IA0517397 DESC DATE:241107 CO ENTRY DESCR:BILLING   SEC:CCD    TRACE#:091311175933038 EED:241107   IND ID:842024147                    IND NAME:Devlin Interiors Inc                                                                                         INVOICE TRN: 3125933038TC</t>
  </si>
  <si>
    <t>ORIG CO NAME:CHS payrol  6760       ORIG ID:9IB0517397 DESC DATE:241107 CO ENTRY DESCR:TAX IMPOUNSEC:CCD    TRACE#:091311175932590 EED:241107   IND ID:842024147                    IND NAME:Devlin Interiors Inc                                                                                         TAX IMPOUND TRN: 3125932590TC</t>
  </si>
  <si>
    <t>ORIG CO NAME:AMERICAN EXPRESS       ORIG ID:2005032111 DESC DATE:241105 CO ENTRY DESCR:ACH PMT   SEC:CCD    TRACE#:021000023873242 EED:241105   IND ID:M9744                        IND NAME:colin devlin                                                                                                 ER AM TRN: 3103873242TC</t>
  </si>
  <si>
    <t>ORIG CO NAME:AMERICAN EXPRESS       ORIG ID:9493560001 DESC DATE:241104 CO ENTRY DESCR:ACH PMT   SEC:CCD    TRACE#:021000024082519 EED:241104   IND ID:A7296                        IND NAME:colin devlin                                                                                                 AM TRN: 3094082519TC</t>
  </si>
  <si>
    <t xml:space="preserve">CHECK 709  </t>
  </si>
  <si>
    <t>ATM WITHDRAWAL                       007079  11/022245 31ST</t>
  </si>
  <si>
    <t>TERRA SUPPLY 718-965-9000 NY                 11/01</t>
  </si>
  <si>
    <t>Zelle payment to Christina JPM99aqemz0s</t>
  </si>
  <si>
    <t>CHASE_TO_PARTNERFI</t>
  </si>
  <si>
    <t>Online Transfer to CHK ...9199 transaction#: 22571058023 11/01</t>
  </si>
  <si>
    <t>AMAZON MKTPL*YH8PE4R Amzn.com/bill WA        11/01</t>
  </si>
  <si>
    <t>Zelle payment to Nasri Taxes JPM99aqblqdc</t>
  </si>
  <si>
    <t>WITHDRAWAL 10/31</t>
  </si>
  <si>
    <t>ORIG CO NAME:CHS payrol  6760       ORIG ID:9IA0517397 DESC DATE:241030 CO ENTRY DESCR:BILLING   SEC:CCD    TRACE#:091311171986412 EED:241030   IND ID:842024147                    IND NAME:Devlin Interiors Inc                                                                                         INVOICE TRN: 3041986412TC</t>
  </si>
  <si>
    <t>ORIG CO NAME:CHS payrol  6760       ORIG ID:9IB0517397 DESC DATE:241030 CO ENTRY DESCR:TAX IMPOUNSEC:CCD    TRACE#:091311171986066 EED:241030   IND ID:842024147                    IND NAME:Devlin Interiors Inc                                                                                         TAX IMPOUND TRN: 3041986066TC</t>
  </si>
  <si>
    <t>Online Transfer to CHK ...9199 transaction#: 22533266825 10/29</t>
  </si>
  <si>
    <t>ORIG CO NAME:AMERICAN EXPRESS       ORIG ID:9493560001 DESC DATE:241028 CO ENTRY DESCR:ACH PMT   SEC:CCD    TRACE#:021000028796579 EED:241028   IND ID:A0186                        IND NAME:colin devlin                                                                                                 AM TRN: 3028796579TC</t>
  </si>
  <si>
    <t xml:space="preserve">CHECK 998  </t>
  </si>
  <si>
    <t xml:space="preserve">CHECK 707  </t>
  </si>
  <si>
    <t xml:space="preserve">CHECK 997  </t>
  </si>
  <si>
    <t xml:space="preserve">CHECK 705  </t>
  </si>
  <si>
    <t>ATM WITHDRAWAL                       000809  10/25345 HUDSO</t>
  </si>
  <si>
    <t>ORIG CO NAME:CHS payrol  6760       ORIG ID:9IA0517397 DESC DATE:241025 CO ENTRY DESCR:BILLING   SEC:CCD    TRACE#:091311174568293 EED:241025   IND ID:842024147                    IND NAME:Devlin Interiors Inc                                                                                         INVOICE TRN: 2994568293TC</t>
  </si>
  <si>
    <t>ORIG CO NAME:CHS payrol  6760       ORIG ID:9IB0517397 DESC DATE:241025 CO ENTRY DESCR:TAX IMPOUNSEC:CCD    TRACE#:091311174568402 EED:241025   IND ID:842024147                    IND NAME:Devlin Interiors Inc                                                                                         TAX IMPOUND TRN: 2994568402TC</t>
  </si>
  <si>
    <t>WITHDRAWAL 10/22</t>
  </si>
  <si>
    <t>STATE FARM  INSURANCE 800-956-6310 IL        10/21</t>
  </si>
  <si>
    <t>FSI*TD AUTO FINANCE 888-939-9876 MI          10/21</t>
  </si>
  <si>
    <t>Amazon.com*TS4299NY3 Amzn.com/bill WA        10/21</t>
  </si>
  <si>
    <t>ORIG CO NAME:AMERICAN EXPRESS       ORIG ID:9493560001 DESC DATE:241021 CO ENTRY DESCR:ACH PMT   SEC:CCD    TRACE#:021000023780581 EED:241021   IND ID:A5100                        IND NAME:colin devlin                                                                                                 AM TRN: 2953780581TC</t>
  </si>
  <si>
    <t>Online Transfer to CHK ...9199 transaction#: 22451314651 10/21</t>
  </si>
  <si>
    <t>Zelle payment to Ramon Update Systems JPM99appzggf</t>
  </si>
  <si>
    <t>Online Transfer to CHK ...9199 transaction#: 22443048619 10/21</t>
  </si>
  <si>
    <t>Payment to Chase card ending in 3909 10/21</t>
  </si>
  <si>
    <t>Zelle payment to Jamie Update System JPM99appzgjz</t>
  </si>
  <si>
    <t>APPLE.COM/BILL 866-712-7753 CA               10/20</t>
  </si>
  <si>
    <t>WITHDRAWAL 10/18</t>
  </si>
  <si>
    <t>ORIG CO NAME:CHS payrol  6760       ORIG ID:9IA0517397 DESC DATE:241017 CO ENTRY DESCR:BILLING   SEC:CCD    TRACE#:091311170771006 EED:241017   IND ID:842024147                    IND NAME:Devlin Interiors Inc                                                                                         INVOICE TRN: 2910771006TC</t>
  </si>
  <si>
    <t>ORIG CO NAME:CHS payrol  6760       ORIG ID:9IB0517397 DESC DATE:241017 CO ENTRY DESCR:TAX IMPOUNSEC:CCD    TRACE#:091311170771640 EED:241017   IND ID:842024147                    IND NAME:Devlin Interiors Inc                                                                                         TAX IMPOUND TRN: 2910771640TC</t>
  </si>
  <si>
    <t>King David Gallery VT 212-7279700 NY         10/16</t>
  </si>
  <si>
    <t>ORIG CO NAME:AMERICAN EXPRESS       ORIG ID:2005032111 DESC DATE:241016 CO ENTRY DESCR:ACH PMT   SEC:CCD    TRACE#:021000023712347 EED:241016   IND ID:M9180                        IND NAME:colin devlin                                                                                                 ER AM TRN: 2903712347TC</t>
  </si>
  <si>
    <t>ORIG CO NAME:E-ZPASS REBILL         ORIG ID:0000284343 DESC DATE:241015 CO ENTRY DESCR:EZP REBILLSEC:WEB    TRACE#:021000026022767 EED:241015   IND ID:8166949                      IND NAME:COLIN *DEVLIN                                                                                                800-333-8655 TRN: 2896022767TC</t>
  </si>
  <si>
    <t>ATM WITHDRAWAL                       008418  10/15345 HUDSO</t>
  </si>
  <si>
    <t>ORIG CO NAME:AMERICAN EXPRESS       ORIG ID:9493560001 DESC DATE:241015 CO ENTRY DESCR:ACH PMT   SEC:CCD    TRACE#:021000027009018 EED:241015   IND ID:A3624                        IND NAME:colin devlin                                                                                                 AM TRN: 2897009018TC</t>
  </si>
  <si>
    <t>ATM WITHDRAWAL                       000064  10/142245 31ST</t>
  </si>
  <si>
    <t>Zelle payment to Ramon Update Systems JPM99apav557</t>
  </si>
  <si>
    <t>Zelle payment to Jamie Update System JPM99apavgyl</t>
  </si>
  <si>
    <t>ATM WITHDRAWAL                       003215  10/11204 W 4TH</t>
  </si>
  <si>
    <t xml:space="preserve">CHECK 703  </t>
  </si>
  <si>
    <t>ATM WITHDRAWAL                       002982  10/102245 31ST</t>
  </si>
  <si>
    <t xml:space="preserve">CHECK 993  </t>
  </si>
  <si>
    <t>TERRA SUPPLY 718-965-9000 NY                 10/09</t>
  </si>
  <si>
    <t xml:space="preserve">CHECK 999  </t>
  </si>
  <si>
    <t>Zelle payment to Mike Murray 22323133581</t>
  </si>
  <si>
    <t>APPLE.COM/BILL 866-712-7753 CA               10/08</t>
  </si>
  <si>
    <t>ORIG CO NAME:AMERICAN EXPRESS       ORIG ID:9493560001 DESC DATE:241007 CO ENTRY DESCR:ACH PMT   SEC:CCD    TRACE#:021000026327615 EED:241007   IND ID:A4454                        IND NAME:colin devlin                                                                                                 AM TRN: 2816327615TC</t>
  </si>
  <si>
    <t>Online Transfer to CHK ...9199 transaction#: 22275720837 10/04</t>
  </si>
  <si>
    <t>Zelle payment to Flat Rate Junk 22274783540</t>
  </si>
  <si>
    <t>ATM WITHDRAWAL                       007269  10/0410736 71S</t>
  </si>
  <si>
    <t>Zelle payment to Flat Rate Junk 22260050031</t>
  </si>
  <si>
    <t>TERRA SUPPLY 718-965-9000 NY                 10/02</t>
  </si>
  <si>
    <t>Payment to Chase card ending in 3909 10/02</t>
  </si>
  <si>
    <t>Zelle payment to Hugo JPM99aomvx5m</t>
  </si>
  <si>
    <t>MONTHLY SERVICE FEE</t>
  </si>
  <si>
    <t xml:space="preserve">CHECK 991  </t>
  </si>
  <si>
    <t xml:space="preserve">CHECK 992  </t>
  </si>
  <si>
    <t xml:space="preserve">CHECK 994  </t>
  </si>
  <si>
    <t>ORIG CO NAME:AMERICAN EXPRESS       ORIG ID:9493560001 DESC DATE:240930 CO ENTRY DESCR:ACH PMT   SEC:CCD    TRACE#:021000025702320 EED:240930   IND ID:A4694                        IND NAME:colin devlin                                                                                                 AM TRN: 2745702320TC</t>
  </si>
  <si>
    <t>Online Transfer to CHK ...9199 transaction#: 22221931821 09/30</t>
  </si>
  <si>
    <t>Zelle payment to Christina JPM99aok9pft</t>
  </si>
  <si>
    <t>STATE FARM  INSURANCE 800-956-6310 IL        09/27</t>
  </si>
  <si>
    <t>ORIG CO NAME:AMERICAN EXPRESS       ORIG ID:2005032111 DESC DATE:240927 CO ENTRY DESCR:ACH PMT   SEC:CCD    TRACE#:021000025838140 EED:240927   IND ID:M7682                        IND NAME:colin devlin                                                                                                 ER AM TRN: 2715838140TC</t>
  </si>
  <si>
    <t>Payment to Chase card ending in 3909 09/27</t>
  </si>
  <si>
    <t>APPLE.COM/BILL 866-712-7753 CA               09/26</t>
  </si>
  <si>
    <t xml:space="preserve">CHECK 996  </t>
  </si>
  <si>
    <t xml:space="preserve">CHECK 995  </t>
  </si>
  <si>
    <t>OVERDRAFT FEE FOR A $500.00 ITEM - DETAILS: ORIG CO NAME:AMERICAN EXPRESS       ORIG ID:9493560001 DESC DATE:240923 CO ENTRY DESCR:ACH PMT   SEC:CCD    TRACE#:021000028805521 EED:240923   IND ID:A9902                        IND NAME:colin devlin                                                                                                 AM TRN:</t>
  </si>
  <si>
    <t>ORIG CO NAME:TD AUTO FINANCE        ORIG ID:7529150911 DESC DATE:240923 CO ENTRY DESCR:BILL PAY  SEC:CCD    TRACE#:031101118048719 EED:240924   IND ID:20369075261                  IND NAME:COLIN DEVLIN TRN: 2688048719TC</t>
  </si>
  <si>
    <t>ORIG CO NAME:AMERICAN EXPRESS       ORIG ID:9493560001 DESC DATE:240923 CO ENTRY DESCR:ACH PMT   SEC:CCD    TRACE#:021000028805521 EED:240923   IND ID:A9902                        IND NAME:colin devlin                                                                                                 AM TRN: 2678805521TC</t>
  </si>
  <si>
    <t xml:space="preserve">CHECK 990  </t>
  </si>
  <si>
    <t>ORIG CO NAME:AMERICAN EXPRESS       ORIG ID:9493560001 DESC DATE:240916 CO ENTRY DESCR:ACH PMT   SEC:CCD    TRACE#:021000020628661 EED:240916   IND ID:A5068                        IND NAME:colin devlin                                                                                                 AM TRN: 2600628661TC</t>
  </si>
  <si>
    <t xml:space="preserve">CHECK 986  </t>
  </si>
  <si>
    <t xml:space="preserve">CHECK 987  </t>
  </si>
  <si>
    <t>ATM WITHDRAWAL                       001086  09/16204 W 4TH</t>
  </si>
  <si>
    <t>Zelle payment to Mike Murray 22074695092</t>
  </si>
  <si>
    <t>ATM WITHDRAWAL                       005626  09/13204 W 4TH</t>
  </si>
  <si>
    <t>Zelle payment to Mike Murray 22046122814</t>
  </si>
  <si>
    <t>Zelle payment to Mike Murray 22029879476</t>
  </si>
  <si>
    <t>Zelle payment to Mike Murray 22020575964</t>
  </si>
  <si>
    <t>ATM WITHDRAWAL                       009958  09/113818 BROA</t>
  </si>
  <si>
    <t>ORIG CO NAME:NYS DTF CT             ORIG ID:G146013200 DESC DATE:       CO ENTRY DESCR:Tax PaymntSEC:CCD    TRACE#:091000018166496 EED:240911   IND ID:000000117907759              IND NAME:CL2401181538 TRN: 2558166496TC</t>
  </si>
  <si>
    <t>ORIG CO NAME:NYC DEPT OF FINA       ORIG ID:6136400434 DESC DATE:240909 CO ENTRY DESCR:TAXPAYMENTSEC:PPD    TRACE#:051000013349340 EED:240910   IND ID:                             IND NAME:DEVLIN INTERIORS INC TRN: 2543349340TC</t>
  </si>
  <si>
    <t>ATM WITHDRAWAL                       004916  09/09204 W 4TH</t>
  </si>
  <si>
    <t>Zelle payment to Plumber 86th St 21962711777</t>
  </si>
  <si>
    <t>ORIG CO NAME:CHS payrol  6760       ORIG ID:9IA0517397 DESC DATE:240904 CO ENTRY DESCR:BILLING   SEC:CCD    TRACE#:091311171721741 EED:240904   IND ID:842024147                    IND NAME:Devlin Interiors Inc                                                                                         INVOICE TRN: 2481721741TC</t>
  </si>
  <si>
    <t>ORIG CO NAME:AMERICAN EXPRESS       ORIG ID:9493560001 DESC DATE:240903 CO ENTRY DESCR:ACH PMT   SEC:CCD    TRACE#:021000025644036 EED:240903   IND ID:A2936                        IND NAME:colin devlin                                                                                                 AM TRN: 2475644036TC</t>
  </si>
  <si>
    <t xml:space="preserve">CHECK 982  </t>
  </si>
  <si>
    <t xml:space="preserve">CHECK 702  </t>
  </si>
  <si>
    <t xml:space="preserve">CHECK 984  </t>
  </si>
  <si>
    <t xml:space="preserve">CHECK 988  </t>
  </si>
  <si>
    <t>Online Transfer to CHK ...9199 transaction#: 21870352826 08/28</t>
  </si>
  <si>
    <t>ATM WITHDRAWAL                       001019  08/282245 31ST</t>
  </si>
  <si>
    <t>Online Transfer to CHK ...9199 transaction#: 21863909587 08/28</t>
  </si>
  <si>
    <t>ORIG CO NAME:AMERICAN EXPRESS       ORIG ID:9493560001 DESC DATE:240826 CO ENTRY DESCR:ACH PMT   SEC:CCD    TRACE#:021000026886694 EED:240826   IND ID:A5818                        IND NAME:colin devlin                                                                                                 AM TRN: 2396886694TC</t>
  </si>
  <si>
    <t>ATM WITHDRAWAL                       006859  08/261003 LEXI</t>
  </si>
  <si>
    <t>Online Transfer to CHK ...9199 transaction#: 21845970277 08/26</t>
  </si>
  <si>
    <t>ATM WITHDRAWAL                       005599  08/222245 31ST</t>
  </si>
  <si>
    <t>ORIG CO NAME:E-ZPASS REBILL         ORIG ID:0000284343 DESC DATE:240821 CO ENTRY DESCR:EZP REBILLSEC:WEB    TRACE#:021000024137530 EED:240821   IND ID:9700726                      IND NAME:COLIN *DEVLIN                                                                                                800-333-8655 TRN: 2344137530TC</t>
  </si>
  <si>
    <t>FSI*TD AUTO FINANCE 888-939-9876 MI          08/20</t>
  </si>
  <si>
    <t>ORIG CO NAME:AMERICAN EXPRESS       ORIG ID:9493560001 DESC DATE:240819 CO ENTRY DESCR:ACH PMT   SEC:CCD    TRACE#:021000024150761 EED:240819   IND ID:A8882                        IND NAME:colin devlin                                                                                                 AM TRN: 2324150761TC</t>
  </si>
  <si>
    <t>Online Transfer to CHK ...9199 transaction#: 21776780701 08/19</t>
  </si>
  <si>
    <t>ATM WITHDRAWAL                       009701  08/122121 BROA</t>
  </si>
  <si>
    <t>ORIG CO NAME:AMERICAN EXPRESS       ORIG ID:9493560001 DESC DATE:240812 CO ENTRY DESCR:ACH PMT   SEC:CCD    TRACE#:021000025473220 EED:240812   IND ID:A2846                        IND NAME:colin devlin                                                                                                 AM TRN: 2255473220TC</t>
  </si>
  <si>
    <t>ORIG CO NAME:E-ZPASS REBILL         ORIG ID:0000284343 DESC DATE:240811 CO ENTRY DESCR:EZP REBILLSEC:WEB    TRACE#:021000023259821 EED:240812   IND ID:6321716                      IND NAME:COLIN *DEVLIN                                                                                                800-333-8655 TRN: 2253259821TC</t>
  </si>
  <si>
    <t>ORIG CO NAME:AMERICAN EXPRESS       ORIG ID:9493560001 DESC DATE:240805 CO ENTRY DESCR:ACH PMT   SEC:CCD    TRACE#:021000025999659 EED:240805   IND ID:A4180                        IND NAME:colin devlin                                                                                                 AM TRN: 2185999659TC</t>
  </si>
  <si>
    <t>ATM WITHDRAWAL                       007033  08/05525 BROAD</t>
  </si>
  <si>
    <t>Online Transfer to CHK ...9199 transaction#: 21624764926 08/05</t>
  </si>
  <si>
    <t>STATE FARM  INSURANCE 800-956-6310 IL        08/01</t>
  </si>
  <si>
    <t xml:space="preserve">CHECK 980  </t>
  </si>
  <si>
    <t xml:space="preserve">CHECK 979  </t>
  </si>
  <si>
    <t xml:space="preserve">CHECK 975  </t>
  </si>
  <si>
    <t xml:space="preserve">CHECK 981  </t>
  </si>
  <si>
    <t>ATM WITHDRAWAL                       005527  07/311003 LEXI</t>
  </si>
  <si>
    <t>ORIG CO NAME:E-ZPASS REBILL         ORIG ID:0000284343 DESC DATE:240729 CO ENTRY DESCR:EZP REBILLSEC:WEB    TRACE#:021000024283826 EED:240729   IND ID:1912224                      IND NAME:COLIN *DEVLIN                                                                                                800-333-8655 TRN: 2114283826TC</t>
  </si>
  <si>
    <t>ORIG CO NAME:AMERICAN EXPRESS       ORIG ID:9493560001 DESC DATE:240729 CO ENTRY DESCR:ACH PMT   SEC:CCD    TRACE#:021000028396932 EED:240729   IND ID:A2066                        IND NAME:colin devlin                                                                                                 AM TRN: 2118396932TC</t>
  </si>
  <si>
    <t>ATM WITHDRAWAL                       001113  07/262245 31ST</t>
  </si>
  <si>
    <t>FSI*TD AUTO FINANCE 888-939-9876 MI          07/22</t>
  </si>
  <si>
    <t>ORIG CO NAME:AMERICAN EXPRESS       ORIG ID:9493560001 DESC DATE:240722 CO ENTRY DESCR:ACH PMT   SEC:CCD    TRACE#:021000020420514 EED:240722   IND ID:A9250                        IND NAME:colin devlin                                                                                                 AM TRN: 2040420514TC</t>
  </si>
  <si>
    <t>ORIG CO NAME:E-ZPASS REBILL         ORIG ID:0000284343 DESC DATE:240721 CO ENTRY DESCR:EZP REBILLSEC:WEB    TRACE#:021000023218858 EED:240722   IND ID:9520363                      IND NAME:COLIN *DEVLIN                                                                                                800-333-8655 TRN: 2043218858TC</t>
  </si>
  <si>
    <t>ORIG CO NAME:AMERICAN EXPRESS       ORIG ID:9493560001 DESC DATE:240715 CO ENTRY DESCR:ACH PMT   SEC:CCD    TRACE#:021000024730882 EED:240715   IND ID:A5200                        IND NAME:colin devlin                                                                                                 AM TRN: 1974730882TC</t>
  </si>
  <si>
    <t xml:space="preserve">CHECK 972  </t>
  </si>
  <si>
    <t xml:space="preserve">CHECK 969  </t>
  </si>
  <si>
    <t xml:space="preserve">CHECK 974  </t>
  </si>
  <si>
    <t xml:space="preserve">CHECK 970  </t>
  </si>
  <si>
    <t>ORIG CO NAME:AMERICAN EXPRESS       ORIG ID:9493560001 DESC DATE:240708 CO ENTRY DESCR:ACH PMT   SEC:CCD    TRACE#:021000028619476 EED:240708   IND ID:A0672                        IND NAME:colin devlin                                                                                                 AM TRN: 1908619476TC</t>
  </si>
  <si>
    <t>ORIG CO NAME:AMERICAN EXPRESS       ORIG ID:2005032111 DESC DATE:240705 CO ENTRY DESCR:ACH PMT   SEC:CCD    TRACE#:021000023909084 EED:240705   IND ID:M9318                        IND NAME:colin devlin                                                                                                 ER AM TRN: 1873909084TC</t>
  </si>
  <si>
    <t xml:space="preserve">CHECK 973  </t>
  </si>
  <si>
    <t>ORIG CO NAME:CHS payrol  6760       ORIG ID:9IA0517397 DESC DATE:240703 CO ENTRY DESCR:BILLING   SEC:CCD    TRACE#:091311171503471 EED:240703   IND ID:842024147                    IND NAME:Devlin Interiors Inc                                                                                         INVOICE TRN: 1851503471TC</t>
  </si>
  <si>
    <t>ORIG CO NAME:AMERICAN EXPRESS       ORIG ID:9493560001 DESC DATE:240701 CO ENTRY DESCR:ACH PMT   SEC:CCD    TRACE#:021000026657617 EED:240701   IND ID:A7612                        IND NAME:colin devlin                                                                                                 AM TRN: 1836657617TC</t>
  </si>
  <si>
    <t>ORIG CO NAME:AMERICAN EXPRESS       ORIG ID:9493560001 DESC DATE:240624 CO ENTRY DESCR:ACH PMT   SEC:CCD    TRACE#:021000029895439 EED:240624   IND ID:A1042                        IND NAME:colin devlin                                                                                                 AM TRN: 1769895439TC</t>
  </si>
  <si>
    <t>FSI*TD AUTO FINANCE 888-939-9876 MI          06/20</t>
  </si>
  <si>
    <t xml:space="preserve">CHECK 967  </t>
  </si>
  <si>
    <t>ORIG CO NAME:E-ZPASS REBILL         ORIG ID:0000284343 DESC DATE:240604 CO ENTRY DESCR:EZP REBILLSEC:WEB    TRACE#:021000027250070 EED:240604   IND ID:4220464                      IND NAME:COLIN *DEVLIN                                                                                                800-333-8655 TRN: 1567250070TC</t>
  </si>
  <si>
    <t>ORIG CO NAME:NYS DTF SALES          ORIG ID:O146013200 DESC DATE:       CO ENTRY DESCR:Tax PaymntSEC:CCD    TRACE#:091000011009482 EED:240530   IND ID:000000114422211              IND NAME:SW2403871929 TRN: 1511009482TC</t>
  </si>
  <si>
    <t xml:space="preserve">CHECK 968  </t>
  </si>
  <si>
    <t>ORIG CO NAME:NYC BUILDINGS          ORIG ID:AC36440434 DESC DATE:       CO ENTRY DESCR:DOB       SEC:CCD    TRACE#:028000081292169 EED:240528   IND ID:C     370049626              IND NAME:DEVLIN INTERIORS INC TRN: 1491292169TC</t>
  </si>
  <si>
    <t>ORIG CO NAME:AMERICAN EXPRESS       ORIG ID:2005032111 DESC DATE:240523 CO ENTRY DESCR:ACH PMT   SEC:CCD    TRACE#:021000022831434 EED:240523   IND ID:M4264                        IND NAME:colin devlin                                                                                                 ER AM TRN: 1442831434TC</t>
  </si>
  <si>
    <t xml:space="preserve">CHECK 966  </t>
  </si>
  <si>
    <t>FSI*TD AUTO FINANCE 888-939-9876 MI          05/20</t>
  </si>
  <si>
    <t>ORIG CO NAME:E-ZPASS REBILL         ORIG ID:0000284343 DESC DATE:240515 CO ENTRY DESCR:EZP REBILLSEC:WEB    TRACE#:021000025987973 EED:240515   IND ID:7967400                      IND NAME:COLIN *DEVLIN                                                                                                800-333-8655 TRN: 1365987973TC</t>
  </si>
  <si>
    <t xml:space="preserve">CHECK 965  </t>
  </si>
  <si>
    <t xml:space="preserve">CHECK 963  </t>
  </si>
  <si>
    <t xml:space="preserve">CHECK 962  </t>
  </si>
  <si>
    <t xml:space="preserve">CHECK 954  </t>
  </si>
  <si>
    <t xml:space="preserve">CHECK 951  </t>
  </si>
  <si>
    <t xml:space="preserve">CHECK 957  </t>
  </si>
  <si>
    <t>ORIG CO NAME:AMERICAN EXPRESS       ORIG ID:2005032111 DESC DATE:240506 CO ENTRY DESCR:ACH PMT   SEC:CCD    TRACE#:021000027375855 EED:240506   IND ID:M0250                        IND NAME:colin devlin                                                                                                 ER AM TRN: 1277375855TC</t>
  </si>
  <si>
    <t>ATM WITHDRAWAL                       005193  05/043818 BROA</t>
  </si>
  <si>
    <t xml:space="preserve">CHECK 961  </t>
  </si>
  <si>
    <t>ORIG CO NAME:CHS payrol  6760       ORIG ID:9IA0517397 DESC DATE:240502 CO ENTRY DESCR:BILLING   SEC:CCD    TRACE#:091311175784878 EED:240502   IND ID:842024147                    IND NAME:Devlin Interiors Inc                                                                                         INVOICE TRN: 1235784878TC</t>
  </si>
  <si>
    <t xml:space="preserve">CHECK 960  </t>
  </si>
  <si>
    <t xml:space="preserve">CHECK 959  </t>
  </si>
  <si>
    <t>FSI*TD AUTO FINANCE 888-939-9876 MI          04/21</t>
  </si>
  <si>
    <t xml:space="preserve">CHECK 787  </t>
  </si>
  <si>
    <t>ATM WITHDRAWAL                       003650  04/136602 GRAN</t>
  </si>
  <si>
    <t xml:space="preserve">CHECK 955  </t>
  </si>
  <si>
    <t xml:space="preserve">CHECK 952  </t>
  </si>
  <si>
    <t xml:space="preserve">CHECK 953  </t>
  </si>
  <si>
    <t>ATM WITHDRAWAL                       008309  04/101003 LEXI</t>
  </si>
  <si>
    <t>ATM WITHDRAWAL                       005049  04/096602 GRAN</t>
  </si>
  <si>
    <t>Payment to Chase card ending in 3909 04/09</t>
  </si>
  <si>
    <t>ORIG CO NAME:AMERICAN EXPRESS       ORIG ID:2005032111 DESC DATE:240408 CO ENTRY DESCR:ACH PMT   SEC:CCD    TRACE#:021000025417307 EED:240408   IND ID:M8178                        IND NAME:colin devlin                                                                                                 ER AM TRN: 0995417307TC</t>
  </si>
  <si>
    <t>ATM WITHDRAWAL                       008942  03/303818 BROA</t>
  </si>
  <si>
    <t>Online Transfer to CHK ...9199 transaction#: 20304167473 03/29</t>
  </si>
  <si>
    <t>Zelle payment to Plumber 86th St 20304142515</t>
  </si>
  <si>
    <t>ATM WITHDRAWAL                       006916  03/286602 GRAN</t>
  </si>
  <si>
    <t xml:space="preserve">CHECK 800  </t>
  </si>
  <si>
    <t>OVERDRAFT FEE FOR A $25.00 ITEM - DETAILS: ORIG CO NAME:NYS DTF CT             ORIG ID:G146013200 DESC DATE:       CO ENTRY DESCR:Tax PaymntSEC:CCD    TRACE#:091000013398763 EED:240319   IND ID:000000110615367              IND NAME:CL2400631013 TRN: 0793398763TC</t>
  </si>
  <si>
    <t>OVERDRAFT FEE FOR A $25.00 ITEM - DETAILS: ORIG CO NAME:NYC DEPT OF FINA       ORIG ID:6136400434 DESC DATE:240318 CO ENTRY DESCR:TAXPAYMENTSEC:PPD    TRACE#:051000013237110 EED:240319   IND ID:                             IND NAME:DEVLIN INTERIORS INC TRN: 0793237110TC</t>
  </si>
  <si>
    <t>ORIG CO NAME:NYS DTF CT             ORIG ID:G146013200 DESC DATE:       CO ENTRY DESCR:Tax PaymntSEC:CCD    TRACE#:091000013398763 EED:240319   IND ID:000000110615367              IND NAME:CL2400631013 TRN: 0793398763TC</t>
  </si>
  <si>
    <t>ORIG CO NAME:NYC DEPT OF FINA       ORIG ID:6136400434 DESC DATE:240318 CO ENTRY DESCR:TAXPAYMENTSEC:PPD    TRACE#:051000013237110 EED:240319   IND ID:                             IND NAME:DEVLIN INTERIORS INC TRN: 0793237110TC</t>
  </si>
  <si>
    <t>OVERDRAFT FEE FOR CHECK #797 IN THE AMOUNT OF $140.00</t>
  </si>
  <si>
    <t>OVERDRAFT FEE FOR CHECK #799 IN THE AMOUNT OF $140.00</t>
  </si>
  <si>
    <t xml:space="preserve">CHECK 797  </t>
  </si>
  <si>
    <t xml:space="preserve">CHECK 799  </t>
  </si>
  <si>
    <t>OVERDRAFT FEE FOR A $93.00 ITEM - DETAILS: ORIG CO NAME:AMERICAN EXPRESS       ORIG ID:2005032111 DESC DATE:240305 CO ENTRY DESCR:ACH PMT   SEC:CCD    TRACE#:021000020887450 EED:240305   IND ID:M1874                        IND NAME:colin devlin                                                                                                 ER AM TRN</t>
  </si>
  <si>
    <t>OVERDRAFT FEE FOR A $50.00 ITEM - DETAILS: ORIG CO NAME:CHS payrol  6760       ORIG ID:9IA0517397 DESC DATE:240304 CO ENTRY DESCR:BILLING   SEC:CCD    TRACE#:091311172760400 EED:240304   IND ID:842024147                    IND NAME:Devlin Interiors Inc                                                                                         INVOICE T</t>
  </si>
  <si>
    <t>STOP PAYMENT FEE</t>
  </si>
  <si>
    <t>ORIG CO NAME:AMERICAN EXPRESS       ORIG ID:2005032111 DESC DATE:240305 CO ENTRY DESCR:ACH PMT   SEC:CCD    TRACE#:021000020887450 EED:240305   IND ID:M1874                        IND NAME:colin devlin                                                                                                 ER AM TRN: 0650887450TC</t>
  </si>
  <si>
    <t>ORIG CO NAME:CHS payrol  6760       ORIG ID:9IA0517397 DESC DATE:240304 CO ENTRY DESCR:BILLING   SEC:CCD    TRACE#:091311172760400 EED:240304   IND ID:842024147                    IND NAME:Devlin Interiors Inc                                                                                         INVOICE TRN: 0642760400TC</t>
  </si>
  <si>
    <t>OVERDRAFT FEE FOR CHECK #788 IN THE AMOUNT OF $3,965.00</t>
  </si>
  <si>
    <t xml:space="preserve">CHECK 788  </t>
  </si>
  <si>
    <t xml:space="preserve">CHECK 796  </t>
  </si>
  <si>
    <t xml:space="preserve">CHECK 795  </t>
  </si>
  <si>
    <t>Zelle payment to Plumber 86th St 19976977064</t>
  </si>
  <si>
    <t xml:space="preserve">CHECK 794  </t>
  </si>
  <si>
    <t>ORIG CO NAME:E-ZPASS REBILL         ORIG ID:0000284343 DESC DATE:240222 CO ENTRY DESCR:EZP REBILLSEC:WEB    TRACE#:021000021688346 EED:240222   IND ID:2053725                      IND NAME:COLIN *DEVLIN                                                                                                800-333-8655 TRN: 0531688346TC</t>
  </si>
  <si>
    <t>ORIG CO NAME:CHS Payroll LLC        ORIG ID:9IB0517397 DESC DATE:240220 CO ENTRY DESCR:TAX IMPOUNSEC:CCD    TRACE#:091311179636433 EED:240222   IND ID:842024147                    IND NAME:Devlin Interiors                                                                                             TAX IMPOUND TRN: 0539636433TC</t>
  </si>
  <si>
    <t>ATM WITHDRAWAL                       006219  02/212245 31ST</t>
  </si>
  <si>
    <t>FSI*TD AUTO FINANCE 888-939-9876 MI          02/20</t>
  </si>
  <si>
    <t>ONLINE DOMESTIC WIRE FEE</t>
  </si>
  <si>
    <t>ATM WITHDRAWAL                       003497  02/15345 HUDSO</t>
  </si>
  <si>
    <t>ONLINE DOMESTIC WIRE TRANSFER A/C: TESSA J PERUTZ BROOKLYN NY 11217-1338 US REF: FIRST PAYMENT 47 WALKER ST/BNF/FIRST PAYMENT/ACC/766375260 TESSA PERUT Z 270 PARK AVE NY 10017 NEW YORK NY 10017 US TRN: 3301894046ES 02/15</t>
  </si>
  <si>
    <t>WIRE_OUTGOING</t>
  </si>
  <si>
    <t xml:space="preserve">CHECK 701  </t>
  </si>
  <si>
    <t xml:space="preserve">CHECK 793  </t>
  </si>
  <si>
    <t>ORIG CO NAME:INTUIT *               ORIG ID:0000756346 DESC DATE:240213 CO ENTRY DESCR:QBooks OnlSEC:CCD    TRACE#:021000025874496 EED:240213   IND ID:9113744                      IND NAME:DEVLIN INTERIORS INC                                                                                         800-446-8848 TRN: 0445874496TC</t>
  </si>
  <si>
    <t>MSFT * E0400QP5VD 800-6427676 WA             02/07</t>
  </si>
  <si>
    <t>MSFT * E0400QBDPO 800-6427676 WA             02/04</t>
  </si>
  <si>
    <t>Zelle payment to Hugo JPM99a8rdm4h</t>
  </si>
  <si>
    <t>ORIG CO NAME:AMERICAN EXPRESS       ORIG ID:9493560001 DESC DATE:240129 CO ENTRY DESCR:ACH PMT   SEC:CCD    TRACE#:021000021454700 EED:240129   IND ID:A3338                        IND NAME:colin devlin                                                                                                 AM TRN: 0291454700TC</t>
  </si>
  <si>
    <t>ORIG CO NAME:E-ZPASS REBILL         ORIG ID:0000284343 DESC DATE:240128 CO ENTRY DESCR:EZP REBILLSEC:WEB    TRACE#:021000020214309 EED:240129   IND ID:4350174                      IND NAME:COLIN *DEVLIN                                                                                                800-333-8655 TRN: 0290214309TC</t>
  </si>
  <si>
    <t xml:space="preserve">CHECK 792  </t>
  </si>
  <si>
    <t xml:space="preserve">CHECK 776  </t>
  </si>
  <si>
    <t>ORIG CO NAME:FIRST INSURANCE        ORIG ID:2363437365 DESC DATE:       CO ENTRY DESCR:INSURANCE SEC:CCD    TRACE#:071925331853259 EED:240124   IND ID:900-98374911                 IND NAME:DEVLIN INTERIORS INC                                                                                         PBS ACH DEBIT TRN: 0241853259TC</t>
  </si>
  <si>
    <t>FSI*TD AUTO FINANCE 888-939-9876 MI          01/23</t>
  </si>
  <si>
    <t>OVERDRAFT FEE FOR A $80.00 ITEM - DETAILS: ORIG CO NAME:E-ZPASS REBILL         ORIG ID:0000284343 DESC DATE:240119 CO ENTRY DESCR:EZP REBILLSEC:WEB    TRACE#:021000026228849 EED:240119   IND ID:1855501                      IND NAME:COLIN *DEVLIN                                                                                                800-333-8</t>
  </si>
  <si>
    <t>OVERDRAFT FEE FOR CHECK #791 IN THE AMOUNT OF $140.00</t>
  </si>
  <si>
    <t>ORIG CO NAME:E-ZPASS REBILL         ORIG ID:0000284343 DESC DATE:240119 CO ENTRY DESCR:EZP REBILLSEC:WEB    TRACE#:021000026228849 EED:240119   IND ID:1855501                      IND NAME:COLIN *DEVLIN                                                                                                800-333-8655 TRN: 0196228849TC</t>
  </si>
  <si>
    <t xml:space="preserve">CHECK 791  </t>
  </si>
  <si>
    <t>OVERDRAFT FEE FOR A $97.99 ITEM - DETAILS: ORIG CO NAME:INTUIT *               ORIG ID:0000756346 DESC DATE:240113 CO ENTRY DESCR:QBooks OnlSEC:CCD    TRACE#:021000022155186 EED:240116   IND ID:9942879                      IND NAME:DEVLIN INTERIORS INC                                                                                         800-446-8</t>
  </si>
  <si>
    <t>OVERDRAFT FEE FOR A $5,369.32 ITEM - DETAILS: ORIG CO NAME:NYSIF                  ORIG ID:9951211000 DESC DATE:JAN 24 CO ENTRY DESCR:WEB_PAY   SEC:WEB    TRACE#:021000021834100 EED:240116   IND ID:01755035122523               IND NAME:COLIN DEVLIN TRN: 0161834100TC</t>
  </si>
  <si>
    <t>ORIG CO NAME:INTUIT *               ORIG ID:0000756346 DESC DATE:240113 CO ENTRY DESCR:QBooks OnlSEC:CCD    TRACE#:021000022155186 EED:240116   IND ID:9942879                      IND NAME:DEVLIN INTERIORS INC                                                                                         800-446-8848 TRN: 0162155186TC</t>
  </si>
  <si>
    <t>ORIG CO NAME:NYSIF                  ORIG ID:9951211000 DESC DATE:JAN 24 CO ENTRY DESCR:WEB_PAY   SEC:WEB    TRACE#:021000021834100 EED:240116   IND ID:01755035122523               IND NAME:COLIN DEVLIN TRN: 0161834100TC</t>
  </si>
  <si>
    <t xml:space="preserve">CHECK 789  </t>
  </si>
  <si>
    <t xml:space="preserve">CHECK 790  </t>
  </si>
  <si>
    <t>Zelle payment to Hugo JPM99a7s6ued</t>
  </si>
  <si>
    <t>SQUARESPACE INC. HTTPSSQUARESP NY            01/09</t>
  </si>
  <si>
    <t>ATM WITHDRAWAL                       002310  01/082245 31ST</t>
  </si>
  <si>
    <t>ORIG CO NAME:AMERICAN EXPRESS       ORIG ID:2005032111 DESC DATE:240105 CO ENTRY DESCR:ACH PMT   SEC:CCD    TRACE#:021000026236019 EED:240105   IND ID:M2874                        IND NAME:colin devlin                                                                                                 ER AM TRN: 0056236019TC</t>
  </si>
  <si>
    <t>ORIG CO NAME:CHS payrol  6760       ORIG ID:9IA0517397 DESC DATE:240103 CO ENTRY DESCR:BILLING   SEC:CCD    TRACE#:091311170856479 EED:240103   IND ID:842024147                    IND NAME:Devlin Interiors Inc                                                                                         INVOICE TRN: 0030856479TC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</si>
  <si>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</si>
  <si>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</si>
  <si>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</si>
  <si>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</si>
  <si>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</si>
  <si>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</si>
  <si>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</si>
  <si>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12/17/2024</t>
  </si>
  <si>
    <t>12/16/2024</t>
  </si>
  <si>
    <t>12/13/2024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</si>
  <si>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</si>
  <si>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</si>
  <si>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</si>
  <si>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</si>
  <si>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</si>
  <si>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</si>
  <si>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</si>
  <si>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</si>
  <si>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</si>
  <si>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</si>
  <si>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</si>
  <si>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10/31/2024</t>
  </si>
  <si>
    <t>10/30/2024</t>
  </si>
  <si>
    <t>10/29/2024</t>
  </si>
  <si>
    <t>10/28/2024</t>
  </si>
  <si>
    <t>10/25/2024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</si>
  <si>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</si>
  <si>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</si>
  <si>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</si>
  <si>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</si>
  <si>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</si>
  <si>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</si>
  <si>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</si>
  <si>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9/30/2024</t>
  </si>
  <si>
    <t>9/27/2024</t>
  </si>
  <si>
    <t>9/26/2024</t>
  </si>
  <si>
    <t>9/25/2024</t>
  </si>
  <si>
    <t>9/24/2024</t>
  </si>
  <si>
    <t>9/23/2024</t>
  </si>
  <si>
    <t>9/19/2024</t>
  </si>
  <si>
    <t>9/18/2024</t>
  </si>
  <si>
    <t>9/16/2024</t>
  </si>
  <si>
    <t>9/13/2024</t>
  </si>
  <si>
    <t>8/30/2024</t>
  </si>
  <si>
    <t>8/28/2024</t>
  </si>
  <si>
    <t>8/26/2024</t>
  </si>
  <si>
    <t>8/22/2024</t>
  </si>
  <si>
    <t>8/21/2024</t>
  </si>
  <si>
    <t>8/19/2024</t>
  </si>
  <si>
    <t>8/15/2024</t>
  </si>
  <si>
    <t>8/14/2024</t>
  </si>
  <si>
    <t>7/31/2024</t>
  </si>
  <si>
    <t>7/29/2024</t>
  </si>
  <si>
    <t>7/26/2024</t>
  </si>
  <si>
    <t>7/24/2024</t>
  </si>
  <si>
    <t>7/23/2024</t>
  </si>
  <si>
    <t>7/22/2024</t>
  </si>
  <si>
    <t>7/15/2024</t>
  </si>
  <si>
    <t>6/28/2024</t>
  </si>
  <si>
    <t>6/24/2024</t>
  </si>
  <si>
    <t>6/21/2024</t>
  </si>
  <si>
    <t>6/20/2024</t>
  </si>
  <si>
    <t>6/18/2024</t>
  </si>
  <si>
    <t>6/17/2024</t>
  </si>
  <si>
    <t>5/30/2024</t>
  </si>
  <si>
    <t>5/29/2024</t>
  </si>
  <si>
    <t>5/28/2024</t>
  </si>
  <si>
    <t>5/24/2024</t>
  </si>
  <si>
    <t>5/23/2024</t>
  </si>
  <si>
    <t>5/21/2024</t>
  </si>
  <si>
    <t>5/16/2024</t>
  </si>
  <si>
    <t>5/15/2024</t>
  </si>
  <si>
    <t>5/14/2024</t>
  </si>
  <si>
    <t>5/13/2024</t>
  </si>
  <si>
    <t>4/29/2024</t>
  </si>
  <si>
    <t>4/23/2024</t>
  </si>
  <si>
    <t>4/22/2024</t>
  </si>
  <si>
    <t>4/19/2024</t>
  </si>
  <si>
    <t>4/16/2024</t>
  </si>
  <si>
    <t>4/15/2024</t>
  </si>
  <si>
    <t>3/29/2024</t>
  </si>
  <si>
    <t>3/28/2024</t>
  </si>
  <si>
    <t>3/27/2024</t>
  </si>
  <si>
    <t>3/26/2024</t>
  </si>
  <si>
    <t>3/25/2024</t>
  </si>
  <si>
    <t>3/21/2024</t>
  </si>
  <si>
    <t>3/20/2024</t>
  </si>
  <si>
    <t>3/19/2024</t>
  </si>
  <si>
    <t>3/15/2024</t>
  </si>
  <si>
    <t>3/14/2024</t>
  </si>
  <si>
    <t>2/29/2024</t>
  </si>
  <si>
    <t>2/28/2024</t>
  </si>
  <si>
    <t>2/26/2024</t>
  </si>
  <si>
    <t>2/22/2024</t>
  </si>
  <si>
    <t>2/21/2024</t>
  </si>
  <si>
    <t>2/20/2024</t>
  </si>
  <si>
    <t>2/15/2024</t>
  </si>
  <si>
    <t>2/14/2024</t>
  </si>
  <si>
    <t>2/13/2024</t>
  </si>
  <si>
    <t>1/31/2024</t>
  </si>
  <si>
    <t>1/30/2024</t>
  </si>
  <si>
    <t>1/29/2024</t>
  </si>
  <si>
    <t>1/26/2024</t>
  </si>
  <si>
    <t>1/24/2024</t>
  </si>
  <si>
    <t>1/23/2024</t>
  </si>
  <si>
    <t>1/22/2024</t>
  </si>
  <si>
    <t>1/19/2024</t>
  </si>
  <si>
    <t>1/17/2024</t>
  </si>
  <si>
    <t>1/16/2024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</si>
</sst>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0" applyNumberFormat="1"/>
    <xf numFmtId="164" fontId="16" fillId="0" borderId="0" xfId="0" applyNumberFormat="1" applyFont="1"/>
    <xf numFmtId="0" fontId="1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165" fontId="16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165" fontId="0" fillId="0" borderId="0" xfId="0" applyNumberFormat="1"/>
    <xf numFmtId="0" fontId="19" fillId="0" borderId="0" xfId="0" applyFont="1" applyAlignment="1">
      <alignment horizontal="left" indent="1"/>
    </xf>
    <xf numFmtId="164" fontId="19" fillId="0" borderId="0" xfId="0" applyNumberFormat="1" applyFont="1"/>
    <xf numFmtId="165" fontId="19" fillId="0" borderId="0" xfId="0" applyNumberFormat="1" applyFont="1"/>
    <xf numFmtId="0" fontId="19" fillId="0" borderId="0" xfId="0" applyFont="1"/>
    <xf numFmtId="0" fontId="20" fillId="0" borderId="0" xfId="42" applyFont="1"/>
    <xf numFmtId="0" fontId="16" fillId="0" borderId="0" xfId="0" applyFont="1" applyAlignment="1">
      <alignment horizontal="left"/>
    </xf>
    <xf numFmtId="0" fontId="19" fillId="0" borderId="0" xfId="0" applyFont="1" applyAlignment="1">
      <alignment horizontal="left" indent="2"/>
    </xf>
    <xf numFmtId="164" fontId="19" fillId="33" borderId="0" xfId="0" applyNumberFormat="1" applyFont="1" applyFill="1"/>
    <xf numFmtId="0" fontId="0" fillId="0" borderId="0" xfId="0" applyAlignment="1">
      <alignment wrapText="1"/>
    </xf>
    <xf numFmtId="0" fontId="16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asrichtaxserve\d\CLIENTS\0%20TOOLS_TEMPLATES\Sample%20Tagger%20File%20for%20Phase%201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ri" refreshedDate="45714.681693865743" createdVersion="8" refreshedVersion="8" minRefreshableVersion="3" recordCount="400" xr:uid="{5854DB80-7C2A-4DF8-9317-6BB8CA5FE4F2}">
  <cacheSource type="worksheet">
    <worksheetSource ref="A1:I401" sheet="Bank Activity"/>
  </cacheSource>
  <cacheFields count="9">
    <cacheField name="Bank Account" numFmtId="0">
      <sharedItems/>
    </cacheField>
    <cacheField name="Type" numFmtId="0">
      <sharedItems count="2">
        <s v="NewAcct"/>
        <s v="OldAcct"/>
      </sharedItems>
    </cacheField>
    <cacheField name="Details" numFmtId="0">
      <sharedItems/>
    </cacheField>
    <cacheField name="Posting Date" numFmtId="14">
      <sharedItems containsSemiMixedTypes="0" containsNonDate="0" containsDate="1" containsString="0" minDate="2024-01-02T00:00:00" maxDate="2024-12-31T00:00:00"/>
    </cacheField>
    <cacheField name="Description" numFmtId="0">
      <sharedItems count="364" longText="1">
        <s v="Online Transfer to  CHK ...9199 transaction#: 23146306732 12/30"/>
        <s v="Online Transfer to  CHK ...9199 transaction#: 23112489788 12/27"/>
        <s v="Online Transfer to  CHK ...9199 transaction#: 23113606209 12/27"/>
        <s v="ORIG CO NAME:PAYPAL                 ORIG ID:PAYPALRD33 DESC DATE:241225 CO ENTRY DESCR:ACCTVERIFYSEC:PPD    TRACE#:021000029464759 EED:241226   IND ID:                             IND NAME:EDWIN CACERES TRN: 3619464759TC"/>
        <s v="ORIG CO NAME:PAYPAL                 ORIG ID:PAYPALRD33 DESC DATE:241225 CO ENTRY DESCR:ACCTVERIFYSEC:PPD    TRACE#:021000029464760 EED:241226   IND ID:                             IND NAME:EDWIN CACERES TRN: 3619464760TC"/>
        <s v="ORIG CO NAME:PAYPAL                 ORIG ID:PAYPALRD33 DESC DATE:241224 CO ENTRY DESCR:ACCTVERIFYSEC:PPD    TRACE#:021000021415088 EED:241224   IND ID:                             IND NAME:EDWIN CACERES TRN: 3591415088TC"/>
        <s v="CHECK 1581  "/>
        <s v="Online Transfer to  CHK ...9199 transaction#: 23068110348 12/23"/>
        <s v="CHECK 1576  12/23"/>
        <s v="ORIG CO NAME:TD AUTO FINANCE        ORIG ID:8202614244 DESC DATE:241222 CO ENTRY DESCR:LOAN PYMT SEC:WEB    TRACE#:211274457130490 EED:241223   IND ID:002901103710435              IND NAME:DEVLIN INTERIORS INC TRN: 3587130490TC"/>
        <s v="Online Transfer to  CHK ...9199 transaction#: 23035124858 12/20"/>
        <s v="Online Transfer to  CHK ...9199 transaction#: 23033439024 12/20"/>
        <s v="APPLE.COM/BILL 866-712-7753 CA               12/20"/>
        <s v="CHECK 1580  "/>
        <s v="ATM WITHDRAWAL                       004127  12/197104 WOOD"/>
        <s v="ORIG CO NAME:CHS payrol  6760       ORIG ID:9IA0517397 DESC DATE:241219 CO ENTRY DESCR:BILLING   SEC:CCD    TRACE#:091311179810053 EED:241219   IND ID:842024147                    IND NAME:Devlin Interiors Inc                                                                                         INVOICE TRN: 3549810053TC"/>
        <s v="ORIG CO NAME:CHS payrol  6760       ORIG ID:9IB0517397 DESC DATE:241219 CO ENTRY DESCR:TAX IMPOUNSEC:CCD    TRACE#:091311179810669 EED:241219   IND ID:842024147                    IND NAME:Devlin Interiors Inc                                                                                         TAX IMPOUND TRN: 3549810669TC"/>
        <s v="CHECK 1578  12/17"/>
        <s v="SQSP* INV161700158 HTTPSSQUARESP NY          12/17"/>
        <s v="CHECK 1577  "/>
        <s v="ATM WITHDRAWAL                       003652  12/167104 WOOD"/>
        <s v="Online Transfer to  CHK ...9199 transaction#: 22990527176 12/16"/>
        <s v="Zelle payment to Alfredo 23040850545"/>
        <s v="ATM WITHDRAWAL                       008827  12/132245 31ST"/>
        <s v="Online Transfer to  CHK ...9199 transaction#: 22958922176 12/13"/>
        <s v="Online Transfer to  CHK ...9199 transaction#: 22957884497 12/13"/>
        <s v="E-Z*PASSNY PAYMENT 800-333-8655 NY           12/13"/>
        <s v="ATM WITHDRAWAL                       004534  12/127104 WOOD"/>
        <s v="ORIG CO NAME:CHS payrol  6760       ORIG ID:9IA0517397 DESC DATE:241212 CO ENTRY DESCR:BILLING   SEC:CCD    TRACE#:091311173490835 EED:241212   IND ID:842024147                    IND NAME:Devlin Interiors Inc                                                                                         INVOICE TRN: 3473490835TC"/>
        <s v="ORIG CO NAME:CHS payrol  6760       ORIG ID:9IB0517397 DESC DATE:241212 CO ENTRY DESCR:TAX IMPOUNSEC:CCD    TRACE#:091311173490771 EED:241212   IND ID:842024147                    IND NAME:Devlin Interiors Inc                                                                                         TAX IMPOUND TRN: 3473490771TC"/>
        <s v="ORIG CO NAME:CHS Payrol0040Qd       ORIG ID:9IF0517397 DESC DATE:241210 CO ENTRY DESCR:Tax Impou SEC:CCD    TRACE#:091311175918405 EED:241211   IND ID:84-2024147                   IND NAME:Devlin Interiors Inc                                                                                         TAX IMPOUND MAN TRN: 3465918405TC"/>
        <s v="ORIG CO NAME:CHS Payrol0040Qd       ORIG ID:9IF0517397 DESC DATE:241210 CO ENTRY DESCR:Tax Impou SEC:CCD    TRACE#:091311175918403 EED:241211   IND ID:84-2024147                   IND NAME:Devlin Interiors Inc                                                                                         TAX IMPOUND MAN TRN: 3465918403TC"/>
        <s v="ORIG CO NAME:NYS DTF BILL PYT       ORIG ID:E146013200 DESC DATE:       CO ENTRY DESCR:Tax PaymntSEC:CCD    TRACE#:091000014940679 EED:241211   IND ID:000000121035881              IND NAME:M62193504101224 TRN: 3464940679TC"/>
        <s v="ORIG CO NAME:CHECK OR SUPPLY        ORIG ID:1410216800 DESC DATE:241206 CO ENTRY DESCR:ORDER     SEC:PPD    TRACE#:042000011997573 EED:241210   IND ID:                             IND NAME:DEVLIN INTERIORS INC TRN: 3451997573TC"/>
        <s v="Online Transfer to  CHK ...9199 transaction#: 22909176092 12/09"/>
        <s v="APPLE COM BILL CUPERTINO CA          795813  12/08"/>
        <s v="ATM WITHDRAWAL                       008078  12/072245 31ST"/>
        <s v="REMOTE ONLINE DEPOSIT #          1"/>
        <s v="Online Transfer to  CHK ...9199 transaction#: 22871776405 12/06"/>
        <s v="Online Transfer to  CHK ...9199 transaction#: 22947345602 12/06"/>
        <s v="BALANCE TRANSFER CREDIT"/>
        <s v="BALANCE TRANSFER DEBIT"/>
        <s v="ORIG CO NAME:AMERICAN EXPRESS       ORIG ID:9493560001 DESC DATE:241202 CO ENTRY DESCR:ACH PMT   SEC:CCD    TRACE#:021000024567003 EED:241202   IND ID:A8746                        IND NAME:colin devlin                                                                                                 AM TRN: 3374567003TC"/>
        <s v="Online Transfer to  CHK ...9199 transaction#: 22829952204 12/02"/>
        <s v="STATE FARM  INSURANCE 800-956-6310 IL        11/29"/>
        <s v="Zelle payment from CHRISTINA ALFARO BACp7uugzhin"/>
        <s v="Online Transfer to  CHK ...9199 transaction#: 22798564657 11/29"/>
        <s v="ORIG CO NAME:CHS payrol  6760       ORIG ID:9IA0517397 DESC DATE:241129 CO ENTRY DESCR:BILLING   SEC:CCD    TRACE#:091311176596758 EED:241129   IND ID:842024147                    IND NAME:Devlin Interiors Inc                                                                                         INVOICE TRN: 3346596758TC"/>
        <s v="ORIG CO NAME:CHS payrol  6760       ORIG ID:9IB0517397 DESC DATE:241129 CO ENTRY DESCR:TAX IMPOUNSEC:CCD    TRACE#:091311176597130 EED:241129   IND ID:842024147                    IND NAME:Devlin Interiors Inc                                                                                         TAX IMPOUND TRN: 3346597130TC"/>
        <s v="CHECK 717  "/>
        <s v="ORIG CO NAME:AMERICAN EXPRESS       ORIG ID:9493560001 DESC DATE:241127 CO ENTRY DESCR:ACH PMT   SEC:CCD    TRACE#:021000028652499 EED:241127   IND ID:A3732                        IND NAME:colin devlin                                                                                                 AM TRN: 3328652499TC"/>
        <s v="CHECK 716  "/>
        <s v="CHECK 710  "/>
        <s v="ORIG CO NAME:AMERICAN EXPRESS       ORIG ID:9493560001 DESC DATE:241125 CO ENTRY DESCR:ACH PMT   SEC:CCD    TRACE#:021000028891615 EED:241125   IND ID:A0116                        IND NAME:colin devlin                                                                                                 AM TRN: 3308891615TC"/>
        <s v="ATM WITHDRAWAL                       001028  11/257104 WOOD"/>
        <s v="Online Transfer to  CHK ...9199 transaction#: 22756349632 11/25"/>
        <s v="Payment to Chase card ending in 3909 11/22"/>
        <s v="Online Transfer to  CHK ...9199 transaction#: 22778352525 11/22"/>
        <s v="CHECK 1000  "/>
        <s v="FSI*TD AUTO FINANCE 888-939-9876 MI          11/21"/>
        <s v="ORIG CO NAME:CHS payrol  6760       ORIG ID:9IA0517397 DESC DATE:241121 CO ENTRY DESCR:BILLING   SEC:CCD    TRACE#:091311173717021 EED:241121   IND ID:842024147                    IND NAME:Devlin Interiors Inc                                                                                         INVOICE TRN: 3263717021TC"/>
        <s v="ORIG CO NAME:CHS payrol  6760       ORIG ID:9IB0517397 DESC DATE:241121 CO ENTRY DESCR:TAX IMPOUNSEC:CCD    TRACE#:091311173717548 EED:241121   IND ID:842024147                    IND NAME:Devlin Interiors Inc                                                                                         TAX IMPOUND TRN: 3263717548TC"/>
        <s v="APPLE.COM/BILL 866-712-7753 CA               11/20"/>
        <s v="TERRA SUPPLY 718-965-9000 NY                 11/19"/>
        <s v="ATM WITHDRAWAL                       000651  11/192245 31ST"/>
        <s v="AMAZON MKTPL*FW4VP6W Amzn.com/bill WA        11/18"/>
        <s v="ATM CHECK DEPOSIT 11/19 2245 31ST ST ASTORIA NY"/>
        <s v="ORIG CO NAME:AMERICAN EXPRESS       ORIG ID:9493560001 DESC DATE:241118 CO ENTRY DESCR:ACH PMT   SEC:CCD    TRACE#:021000028736148 EED:241118   IND ID:A0192                        IND NAME:colin devlin                                                                                                 AM TRN: 3238736148TC"/>
        <s v="CHECK 713  11/18"/>
        <s v="Online Transfer to  CHK ...9199 transaction#: 22650479535 11/18"/>
        <s v="ATM WITHDRAWAL                       002883  11/162245 31ST"/>
        <s v="AMAZON MKTPL*W05TN06 Amzn.com/bill WA        11/16"/>
        <s v="ATM WITHDRAWAL                       008386  11/152245 31ST"/>
        <s v="Payment to Chase card ending in 6289 11/15"/>
        <s v="Online Transfer to  CHK ...9199 transaction#: 22701581178 11/15"/>
        <s v="CHECK 712  "/>
        <s v="CHECK 708  "/>
        <s v="CHECK 711  "/>
        <s v="ORIG CO NAME:CHS payrol  6760       ORIG ID:9IA0517397 DESC DATE:241114 CO ENTRY DESCR:BILLING   SEC:CCD    TRACE#:091311172381516 EED:241114   IND ID:842024147                    IND NAME:Devlin Interiors Inc                                                                                         INVOICE TRN: 3192381516TC"/>
        <s v="ORIG CO NAME:CHS payrol  6760       ORIG ID:9IB0517397 DESC DATE:241114 CO ENTRY DESCR:TAX IMPOUNSEC:CCD    TRACE#:091311172380911 EED:241114   IND ID:842024147                    IND NAME:Devlin Interiors Inc                                                                                         TAX IMPOUND TRN: 3192380911TC"/>
        <s v="ORIG CO NAME:E-ZPASS REBILL         ORIG ID:0000284343 DESC DATE:241110 CO ENTRY DESCR:EZP REBILLSEC:WEB    TRACE#:021000026605099 EED:241112   IND ID:6754316                      IND NAME:COLIN *DEVLIN                                                                                                800-333-8655 TRN: 3176605099TC"/>
        <s v="ORIG CO NAME:AMERICAN EXPRESS       ORIG ID:9493560001 DESC DATE:241112 CO ENTRY DESCR:ACH PMT   SEC:CCD    TRACE#:021000029005296 EED:241112   IND ID:A1620                        IND NAME:colin devlin                                                                                                 AM TRN: 3179005296TC"/>
        <s v="ATM WITHDRAWAL                       006693  11/112245 31ST"/>
        <s v="WITHDRAWAL 11/08"/>
        <s v="ATM WITHDRAWAL                       004843  11/082245 31ST"/>
        <s v="Online Transfer to  CHK ...9199 transaction#: 22632609136 11/08"/>
        <s v="APPLE COM BILL CUPERTINO CA          860357  11/08"/>
        <s v="ATM WITHDRAWAL                       009165  11/073818 BROA"/>
        <s v="ORIG CO NAME:CHS payrol  6760       ORIG ID:9IA0517397 DESC DATE:241107 CO ENTRY DESCR:BILLING   SEC:CCD    TRACE#:091311175933038 EED:241107   IND ID:842024147                    IND NAME:Devlin Interiors Inc                                                                                         INVOICE TRN: 3125933038TC"/>
        <s v="ORIG CO NAME:CHS payrol  6760       ORIG ID:9IB0517397 DESC DATE:241107 CO ENTRY DESCR:TAX IMPOUNSEC:CCD    TRACE#:091311175932590 EED:241107   IND ID:842024147                    IND NAME:Devlin Interiors Inc                                                                                         TAX IMPOUND TRN: 3125932590TC"/>
        <s v="ORIG CO NAME:AMERICAN EXPRESS       ORIG ID:2005032111 DESC DATE:241105 CO ENTRY DESCR:ACH PMT   SEC:CCD    TRACE#:021000023873242 EED:241105   IND ID:M9744                        IND NAME:colin devlin                                                                                                 ER AM TRN: 3103873242TC"/>
        <s v="ORIG CO NAME:AMERICAN EXPRESS       ORIG ID:9493560001 DESC DATE:241104 CO ENTRY DESCR:ACH PMT   SEC:CCD    TRACE#:021000024082519 EED:241104   IND ID:A7296                        IND NAME:colin devlin                                                                                                 AM TRN: 3094082519TC"/>
        <s v="CHECK 709  "/>
        <s v="ATM WITHDRAWAL                       007079  11/022245 31ST"/>
        <s v="TERRA SUPPLY 718-965-9000 NY                 11/01"/>
        <s v="Zelle payment to Christina JPM99aqemz0s"/>
        <s v="Online Transfer to CHK ...9199 transaction#: 22571058023 11/01"/>
        <s v="AMAZON MKTPL*YH8PE4R Amzn.com/bill WA        11/01"/>
        <s v="Zelle payment from CHRISTINA ALFARO BACre1dicuhd"/>
        <s v="Zelle payment to Nasri Taxes JPM99aqblqdc"/>
        <s v="WITHDRAWAL 10/31"/>
        <s v="DEPOSIT  ID NUMBER  84045"/>
        <s v="ORIG CO NAME:CHS payrol  6760       ORIG ID:9IA0517397 DESC DATE:241030 CO ENTRY DESCR:BILLING   SEC:CCD    TRACE#:091311171986412 EED:241030   IND ID:842024147                    IND NAME:Devlin Interiors Inc                                                                                         INVOICE TRN: 3041986412TC"/>
        <s v="ORIG CO NAME:CHS payrol  6760       ORIG ID:9IB0517397 DESC DATE:241030 CO ENTRY DESCR:TAX IMPOUNSEC:CCD    TRACE#:091311171986066 EED:241030   IND ID:842024147                    IND NAME:Devlin Interiors Inc                                                                                         TAX IMPOUND TRN: 3041986066TC"/>
        <s v="Online Transfer to CHK ...9199 transaction#: 22533266825 10/29"/>
        <s v="ORIG CO NAME:AMERICAN EXPRESS       ORIG ID:9493560001 DESC DATE:241028 CO ENTRY DESCR:ACH PMT   SEC:CCD    TRACE#:021000028796579 EED:241028   IND ID:A0186                        IND NAME:colin devlin                                                                                                 AM TRN: 3028796579TC"/>
        <s v="CHECK 998  "/>
        <s v="CHECK 707  "/>
        <s v="CHECK 997  "/>
        <s v="CHECK 705  "/>
        <s v="ATM WITHDRAWAL                       000809  10/25345 HUDSO"/>
        <s v="ORIG CO NAME:CHS payrol  6760       ORIG ID:9IA0517397 DESC DATE:241025 CO ENTRY DESCR:BILLING   SEC:CCD    TRACE#:091311174568293 EED:241025   IND ID:842024147                    IND NAME:Devlin Interiors Inc                                                                                         INVOICE TRN: 2994568293TC"/>
        <s v="ORIG CO NAME:CHS payrol  6760       ORIG ID:9IB0517397 DESC DATE:241025 CO ENTRY DESCR:TAX IMPOUNSEC:CCD    TRACE#:091311174568402 EED:241025   IND ID:842024147                    IND NAME:Devlin Interiors Inc                                                                                         TAX IMPOUND TRN: 2994568402TC"/>
        <s v="WITHDRAWAL 10/22"/>
        <s v="STATE FARM  INSURANCE 800-956-6310 IL        10/21"/>
        <s v="FSI*TD AUTO FINANCE 888-939-9876 MI          10/21"/>
        <s v="Amazon.com*TS4299NY3 Amzn.com/bill WA        10/21"/>
        <s v="ORIG CO NAME:AMERICAN EXPRESS       ORIG ID:9493560001 DESC DATE:241021 CO ENTRY DESCR:ACH PMT   SEC:CCD    TRACE#:021000023780581 EED:241021   IND ID:A5100                        IND NAME:colin devlin                                                                                                 AM TRN: 2953780581TC"/>
        <s v="CHECK 704  10/21"/>
        <s v="Online Transfer to CHK ...9199 transaction#: 22451314651 10/21"/>
        <s v="Zelle payment to Ramon Update Systems JPM99appzggf"/>
        <s v="Online Transfer to CHK ...9199 transaction#: 22443048619 10/21"/>
        <s v="Payment to Chase card ending in 3909 10/21"/>
        <s v="Zelle payment to Jamie Update System JPM99appzgjz"/>
        <s v="APPLE.COM/BILL 866-712-7753 CA               10/20"/>
        <s v="WITHDRAWAL 10/18"/>
        <s v="ORIG CO NAME:CHS payrol  6760       ORIG ID:9IA0517397 DESC DATE:241017 CO ENTRY DESCR:BILLING   SEC:CCD    TRACE#:091311170771006 EED:241017   IND ID:842024147                    IND NAME:Devlin Interiors Inc                                                                                         INVOICE TRN: 2910771006TC"/>
        <s v="ORIG CO NAME:CHS payrol  6760       ORIG ID:9IB0517397 DESC DATE:241017 CO ENTRY DESCR:TAX IMPOUNSEC:CCD    TRACE#:091311170771640 EED:241017   IND ID:842024147                    IND NAME:Devlin Interiors Inc                                                                                         TAX IMPOUND TRN: 2910771640TC"/>
        <s v="King David Gallery VT 212-7279700 NY         10/16"/>
        <s v="ORIG CO NAME:AMERICAN EXPRESS       ORIG ID:2005032111 DESC DATE:241016 CO ENTRY DESCR:ACH PMT   SEC:CCD    TRACE#:021000023712347 EED:241016   IND ID:M9180                        IND NAME:colin devlin                                                                                                 ER AM TRN: 2903712347TC"/>
        <s v="Zelle payment from THORNHEDGE GROUP LLC-SERIES B 22400133940"/>
        <s v="ORIG CO NAME:E-ZPASS REBILL         ORIG ID:0000284343 DESC DATE:241015 CO ENTRY DESCR:EZP REBILLSEC:WEB    TRACE#:021000026022767 EED:241015   IND ID:8166949                      IND NAME:COLIN *DEVLIN                                                                                                800-333-8655 TRN: 2896022767TC"/>
        <s v="ATM WITHDRAWAL                       008418  10/15345 HUDSO"/>
        <s v="ORIG CO NAME:AMERICAN EXPRESS       ORIG ID:9493560001 DESC DATE:241015 CO ENTRY DESCR:ACH PMT   SEC:CCD    TRACE#:021000027009018 EED:241015   IND ID:A3624                        IND NAME:colin devlin                                                                                                 AM TRN: 2897009018TC"/>
        <s v="ATM WITHDRAWAL                       000064  10/142245 31ST"/>
        <s v="Zelle payment to Ramon Update Systems JPM99apav557"/>
        <s v="Zelle payment to Jamie Update System JPM99apavgyl"/>
        <s v="Zelle payment from ART OF METALS CONTRACTORS CORP 22362290024"/>
        <s v="Zelle payment from THORNHEDGE GROUP LLC-SERIES B 22389778826"/>
        <s v="ATM CHECK DEPOSIT 10/14 2245 31ST ST ASTORIA NY"/>
        <s v="ATM WITHDRAWAL                       003215  10/11204 W 4TH"/>
        <s v="CHECK 703  "/>
        <s v="ATM WITHDRAWAL                       002982  10/102245 31ST"/>
        <s v="CHECK 993  "/>
        <s v="TERRA SUPPLY 718-965-9000 NY                 10/09"/>
        <s v="CHECK 999  "/>
        <s v="Zelle payment to Mike Murray 22323133581"/>
        <s v="APPLE.COM/BILL 866-712-7753 CA               10/08"/>
        <s v="ORIG CO NAME:AMERICAN EXPRESS       ORIG ID:9493560001 DESC DATE:241007 CO ENTRY DESCR:ACH PMT   SEC:CCD    TRACE#:021000026327615 EED:241007   IND ID:A4454                        IND NAME:colin devlin                                                                                                 AM TRN: 2816327615TC"/>
        <s v="Online Transfer to CHK ...9199 transaction#: 22275720837 10/04"/>
        <s v="Zelle payment to Flat Rate Junk 22274783540"/>
        <s v="ATM WITHDRAWAL                       007269  10/0410736 71S"/>
        <s v="Zelle payment to Flat Rate Junk 22260050031"/>
        <s v="TERRA SUPPLY 718-965-9000 NY                 10/02"/>
        <s v="Payment to Chase card ending in 3909 10/02"/>
        <s v="Zelle payment to Hugo JPM99aomvx5m"/>
        <s v="MONTHLY SERVICE FEE"/>
        <s v="CHECK 991  "/>
        <s v="CHECK 992  "/>
        <s v="CHECK 994  "/>
        <s v="ORIG CO NAME:AMERICAN EXPRESS       ORIG ID:9493560001 DESC DATE:240930 CO ENTRY DESCR:ACH PMT   SEC:CCD    TRACE#:021000025702320 EED:240930   IND ID:A4694                        IND NAME:colin devlin                                                                                                 AM TRN: 2745702320TC"/>
        <s v="Online Transfer to CHK ...9199 transaction#: 22221931821 09/30"/>
        <s v="Zelle payment to Christina JPM99aok9pft"/>
        <s v="STATE FARM  INSURANCE 800-956-6310 IL        09/27"/>
        <s v="Zelle payment from THORNHEDGE GROUP LLC-SERIES B 22204361403"/>
        <s v="ORIG CO NAME:AMERICAN EXPRESS       ORIG ID:2005032111 DESC DATE:240927 CO ENTRY DESCR:ACH PMT   SEC:CCD    TRACE#:021000025838140 EED:240927   IND ID:M7682                        IND NAME:colin devlin                                                                                                 ER AM TRN: 2715838140TC"/>
        <s v="Payment to Chase card ending in 3909 09/27"/>
        <s v="APPLE.COM/BILL 866-712-7753 CA               09/26"/>
        <s v="Zelle payment from THORNHEDGE GROUP LLC-SERIES B 22186930194"/>
        <s v="Zelle payment from THORNHEDGE GROUP LLC-SERIES B 22186885841"/>
        <s v="CHECK 996  "/>
        <s v="CHECK 995  "/>
        <s v="OVERDRAFT FEE FOR A $500.00 ITEM - DETAILS: ORIG CO NAME:AMERICAN EXPRESS       ORIG ID:9493560001 DESC DATE:240923 CO ENTRY DESCR:ACH PMT   SEC:CCD    TRACE#:021000028805521 EED:240923   IND ID:A9902                        IND NAME:colin devlin                                                                                                 AM TRN:"/>
        <s v="ORIG CO NAME:TD AUTO FINANCE        ORIG ID:7529150911 DESC DATE:240923 CO ENTRY DESCR:BILL PAY  SEC:CCD    TRACE#:031101118048719 EED:240924   IND ID:20369075261                  IND NAME:COLIN DEVLIN TRN: 2688048719TC"/>
        <s v="ORIG CO NAME:AMERICAN EXPRESS       ORIG ID:9493560001 DESC DATE:240923 CO ENTRY DESCR:ACH PMT   SEC:CCD    TRACE#:021000028805521 EED:240923   IND ID:A9902                        IND NAME:colin devlin                                                                                                 AM TRN: 2678805521TC"/>
        <s v="CHECK 990  "/>
        <s v="Online Transfer from CHK ...9199 transaction#: 22110230818"/>
        <s v="CHECK 989  09/18"/>
        <s v="ORIG CO NAME:AMERICAN EXPRESS       ORIG ID:9493560001 DESC DATE:240916 CO ENTRY DESCR:ACH PMT   SEC:CCD    TRACE#:021000020628661 EED:240916   IND ID:A5068                        IND NAME:colin devlin                                                                                                 AM TRN: 2600628661TC"/>
        <s v="CHECK 986  "/>
        <s v="CHECK 987  "/>
        <s v="ATM WITHDRAWAL                       001086  09/16204 W 4TH"/>
        <s v="Zelle payment to Mike Murray 22074695092"/>
        <s v="ATM WITHDRAWAL                       005626  09/13204 W 4TH"/>
        <s v="Zelle payment to Mike Murray 22046122814"/>
        <s v="Zelle payment to Mike Murray 22029879476"/>
        <s v="Zelle payment to Mike Murray 22020575964"/>
        <s v="ATM WITHDRAWAL                       009958  09/113818 BROA"/>
        <s v="ORIG CO NAME:NYS DTF CT             ORIG ID:G146013200 DESC DATE:       CO ENTRY DESCR:Tax PaymntSEC:CCD    TRACE#:091000018166496 EED:240911   IND ID:000000117907759              IND NAME:CL2401181538 TRN: 2558166496TC"/>
        <s v="ORIG CO NAME:NYC DEPT OF FINA       ORIG ID:6136400434 DESC DATE:240909 CO ENTRY DESCR:TAXPAYMENTSEC:PPD    TRACE#:051000013349340 EED:240910   IND ID:                             IND NAME:DEVLIN INTERIORS INC TRN: 2543349340TC"/>
        <s v="ATM WITHDRAWAL                       004916  09/09204 W 4TH"/>
        <s v="ATM CHECK DEPOSIT 09/09 204 W 4TH ST NEW YORK NY"/>
        <s v="Zelle payment to Plumber 86th St 21962711777"/>
        <s v="ORIG CO NAME:CHS payrol  6760       ORIG ID:9IA0517397 DESC DATE:240904 CO ENTRY DESCR:BILLING   SEC:CCD    TRACE#:091311171721741 EED:240904   IND ID:842024147                    IND NAME:Devlin Interiors Inc                                                                                         INVOICE TRN: 2481721741TC"/>
        <s v="ORIG CO NAME:AMERICAN EXPRESS       ORIG ID:9493560001 DESC DATE:240903 CO ENTRY DESCR:ACH PMT   SEC:CCD    TRACE#:021000025644036 EED:240903   IND ID:A2936                        IND NAME:colin devlin                                                                                                 AM TRN: 2475644036TC"/>
        <s v="CHECK 982  "/>
        <s v="CHECK 702  "/>
        <s v="CHECK 984  "/>
        <s v="CHECK 988  "/>
        <s v="Online Transfer to CHK ...9199 transaction#: 21870352826 08/28"/>
        <s v="ATM WITHDRAWAL                       001019  08/282245 31ST"/>
        <s v="Online Transfer to CHK ...9199 transaction#: 21863909587 08/28"/>
        <s v="ORIG CO NAME:AMERICAN EXPRESS       ORIG ID:9493560001 DESC DATE:240826 CO ENTRY DESCR:ACH PMT   SEC:CCD    TRACE#:021000026886694 EED:240826   IND ID:A5818                        IND NAME:colin devlin                                                                                                 AM TRN: 2396886694TC"/>
        <s v="ATM WITHDRAWAL                       006859  08/261003 LEXI"/>
        <s v="Online Transfer to CHK ...9199 transaction#: 21845970277 08/26"/>
        <s v="Zelle payment from ZH ARCHITECTS P.C. 21847348016"/>
        <s v="ATM CHECK DEPOSIT 08/26 1003 LEXINGTON AVE NEW YORK NY"/>
        <s v="ATM WITHDRAWAL                       005599  08/222245 31ST"/>
        <s v="CHECK 983  08/22"/>
        <s v="ORIG CO NAME:E-ZPASS REBILL         ORIG ID:0000284343 DESC DATE:240821 CO ENTRY DESCR:EZP REBILLSEC:WEB    TRACE#:021000024137530 EED:240821   IND ID:9700726                      IND NAME:COLIN *DEVLIN                                                                                                800-333-8655 TRN: 2344137530TC"/>
        <s v="FSI*TD AUTO FINANCE 888-939-9876 MI          08/20"/>
        <s v="Zelle payment from CHRISTINA R ALFARO 21794857316"/>
        <s v="ORIG CO NAME:AMERICAN EXPRESS       ORIG ID:9493560001 DESC DATE:240819 CO ENTRY DESCR:ACH PMT   SEC:CCD    TRACE#:021000024150761 EED:240819   IND ID:A8882                        IND NAME:colin devlin                                                                                                 AM TRN: 2324150761TC"/>
        <s v="Online Transfer to CHK ...9199 transaction#: 21776780701 08/19"/>
        <s v="Zelle payment from ZH ARCHITECTS P.C. 21739203535"/>
        <s v="Zelle payment from ZH ARCHITECTS P.C. 21725956804"/>
        <s v="ATM WITHDRAWAL                       009701  08/122121 BROA"/>
        <s v="ORIG CO NAME:AMERICAN EXPRESS       ORIG ID:9493560001 DESC DATE:240812 CO ENTRY DESCR:ACH PMT   SEC:CCD    TRACE#:021000025473220 EED:240812   IND ID:A2846                        IND NAME:colin devlin                                                                                                 AM TRN: 2255473220TC"/>
        <s v="ORIG CO NAME:E-ZPASS REBILL         ORIG ID:0000284343 DESC DATE:240811 CO ENTRY DESCR:EZP REBILLSEC:WEB    TRACE#:021000023259821 EED:240812   IND ID:6321716                      IND NAME:COLIN *DEVLIN                                                                                                800-333-8655 TRN: 2253259821TC"/>
        <s v="ORIG CO NAME:AMERICAN EXPRESS       ORIG ID:9493560001 DESC DATE:240805 CO ENTRY DESCR:ACH PMT   SEC:CCD    TRACE#:021000025999659 EED:240805   IND ID:A4180                        IND NAME:colin devlin                                                                                                 AM TRN: 2185999659TC"/>
        <s v="ATM WITHDRAWAL                       007033  08/05525 BROAD"/>
        <s v="Online Transfer to CHK ...9199 transaction#: 21624764926 08/05"/>
        <s v="STATE FARM  INSURANCE 800-956-6310 IL        08/01"/>
        <s v="CHECK 980  "/>
        <s v="CHECK 979  "/>
        <s v="CHECK 975  "/>
        <s v="CHECK 981  "/>
        <s v="ATM WITHDRAWAL                       005527  07/311003 LEXI"/>
        <s v="ORIG CO NAME:E-ZPASS REBILL         ORIG ID:0000284343 DESC DATE:240729 CO ENTRY DESCR:EZP REBILLSEC:WEB    TRACE#:021000024283826 EED:240729   IND ID:1912224                      IND NAME:COLIN *DEVLIN                                                                                                800-333-8655 TRN: 2114283826TC"/>
        <s v="ORIG CO NAME:AMERICAN EXPRESS       ORIG ID:9493560001 DESC DATE:240729 CO ENTRY DESCR:ACH PMT   SEC:CCD    TRACE#:021000028396932 EED:240729   IND ID:A2066                        IND NAME:colin devlin                                                                                                 AM TRN: 2118396932TC"/>
        <s v="ATM WITHDRAWAL                       001113  07/262245 31ST"/>
        <s v="CHECK 978  07/24"/>
        <s v="FSI*TD AUTO FINANCE 888-939-9876 MI          07/22"/>
        <s v="ORIG CO NAME:AMERICAN EXPRESS       ORIG ID:9493560001 DESC DATE:240722 CO ENTRY DESCR:ACH PMT   SEC:CCD    TRACE#:021000020420514 EED:240722   IND ID:A9250                        IND NAME:colin devlin                                                                                                 AM TRN: 2040420514TC"/>
        <s v="ORIG CO NAME:E-ZPASS REBILL         ORIG ID:0000284343 DESC DATE:240721 CO ENTRY DESCR:EZP REBILLSEC:WEB    TRACE#:021000023218858 EED:240722   IND ID:9520363                      IND NAME:COLIN *DEVLIN                                                                                                800-333-8655 TRN: 2043218858TC"/>
        <s v="Zelle payment from CHRISTINA ALFARO BACmcfs2rwfg"/>
        <s v="ORIG CO NAME:AMERICAN EXPRESS       ORIG ID:9493560001 DESC DATE:240715 CO ENTRY DESCR:ACH PMT   SEC:CCD    TRACE#:021000024730882 EED:240715   IND ID:A5200                        IND NAME:colin devlin                                                                                                 AM TRN: 1974730882TC"/>
        <s v="CHECK 972  "/>
        <s v="CHECK 969  "/>
        <s v="CHECK 974  "/>
        <s v="CHECK 970  "/>
        <s v="ORIG CO NAME:AMERICAN EXPRESS       ORIG ID:9493560001 DESC DATE:240708 CO ENTRY DESCR:ACH PMT   SEC:CCD    TRACE#:021000028619476 EED:240708   IND ID:A0672                        IND NAME:colin devlin                                                                                                 AM TRN: 1908619476TC"/>
        <s v="ORIG CO NAME:AMERICAN EXPRESS       ORIG ID:2005032111 DESC DATE:240705 CO ENTRY DESCR:ACH PMT   SEC:CCD    TRACE#:021000023909084 EED:240705   IND ID:M9318                        IND NAME:colin devlin                                                                                                 ER AM TRN: 1873909084TC"/>
        <s v="CHECK 973  "/>
        <s v="ORIG CO NAME:CHS payrol  6760       ORIG ID:9IA0517397 DESC DATE:240703 CO ENTRY DESCR:BILLING   SEC:CCD    TRACE#:091311171503471 EED:240703   IND ID:842024147                    IND NAME:Devlin Interiors Inc                                                                                         INVOICE TRN: 1851503471TC"/>
        <s v="ATM CHECK DEPOSIT 07/03 3818 BROADWAY ASTORIA NY"/>
        <s v="ORIG CO NAME:AMERICAN EXPRESS       ORIG ID:9493560001 DESC DATE:240701 CO ENTRY DESCR:ACH PMT   SEC:CCD    TRACE#:021000026657617 EED:240701   IND ID:A7612                        IND NAME:colin devlin                                                                                                 AM TRN: 1836657617TC"/>
        <s v="ORIG CO NAME:AMERICAN EXPRESS       ORIG ID:9493560001 DESC DATE:240624 CO ENTRY DESCR:ACH PMT   SEC:CCD    TRACE#:021000029895439 EED:240624   IND ID:A1042                        IND NAME:colin devlin                                                                                                 AM TRN: 1769895439TC"/>
        <s v="CHECK 971  06/24"/>
        <s v="FSI*TD AUTO FINANCE 888-939-9876 MI          06/20"/>
        <s v="Zelle payment from FRIENDS' HOME ASSOCIATION OF NEW YORK 21153304410"/>
        <s v="Zelle payment from FRIENDS' HOME ASSOCIATION OF NEW YORK 21145063946"/>
        <s v="Zelle payment from FRIENDS' HOME ASSOCIATION OF NEW YORK 21134045418"/>
        <s v="Online Transfer from CHK ...9199 transaction#: 21116226877"/>
        <s v="CHECK 967  "/>
        <s v="Online Transfer from CHK ...9199 transaction#: 21072972910"/>
        <s v="ORIG CO NAME:E-ZPASS REBILL         ORIG ID:0000284343 DESC DATE:240604 CO ENTRY DESCR:EZP REBILLSEC:WEB    TRACE#:021000027250070 EED:240604   IND ID:4220464                      IND NAME:COLIN *DEVLIN                                                                                                800-333-8655 TRN: 1567250070TC"/>
        <s v="ORIG CO NAME:NYS DTF SALES          ORIG ID:O146013200 DESC DATE:       CO ENTRY DESCR:Tax PaymntSEC:CCD    TRACE#:091000011009482 EED:240530   IND ID:000000114422211              IND NAME:SW2403871929 TRN: 1511009482TC"/>
        <s v="CHECK 968  "/>
        <s v="ORIG CO NAME:NYC BUILDINGS          ORIG ID:AC36440434 DESC DATE:       CO ENTRY DESCR:DOB       SEC:CCD    TRACE#:028000081292169 EED:240528   IND ID:C     370049626              IND NAME:DEVLIN INTERIORS INC TRN: 1491292169TC"/>
        <s v="Online Transfer from CHK ...9199 transaction#: 20872220389"/>
        <s v="ORIG CO NAME:AMERICAN EXPRESS       ORIG ID:2005032111 DESC DATE:240523 CO ENTRY DESCR:ACH PMT   SEC:CCD    TRACE#:021000022831434 EED:240523   IND ID:M4264                        IND NAME:colin devlin                                                                                                 ER AM TRN: 1442831434TC"/>
        <s v="CHECK 966  "/>
        <s v="FSI*TD AUTO FINANCE 888-939-9876 MI          05/20"/>
        <s v="CHECK 964  05/16"/>
        <s v="ORIG CO NAME:E-ZPASS REBILL         ORIG ID:0000284343 DESC DATE:240515 CO ENTRY DESCR:EZP REBILLSEC:WEB    TRACE#:021000025987973 EED:240515   IND ID:7967400                      IND NAME:COLIN *DEVLIN                                                                                                800-333-8655 TRN: 1365987973TC"/>
        <s v="CHECK 965  "/>
        <s v="CHECK 963  "/>
        <s v="CHECK 962  "/>
        <s v="CHECK 954  "/>
        <s v="CHECK 951  "/>
        <s v="CHECK 957  "/>
        <s v="ORIG CO NAME:AMERICAN EXPRESS       ORIG ID:2005032111 DESC DATE:240506 CO ENTRY DESCR:ACH PMT   SEC:CCD    TRACE#:021000027375855 EED:240506   IND ID:M0250                        IND NAME:colin devlin                                                                                                 ER AM TRN: 1277375855TC"/>
        <s v="ATM WITHDRAWAL                       005193  05/043818 BROA"/>
        <s v="CHECK 961  "/>
        <s v="ORIG CO NAME:CHS payrol  6760       ORIG ID:9IA0517397 DESC DATE:240502 CO ENTRY DESCR:BILLING   SEC:CCD    TRACE#:091311175784878 EED:240502   IND ID:842024147                    IND NAME:Devlin Interiors Inc                                                                                         INVOICE TRN: 1235784878TC"/>
        <s v="CHECK 960  "/>
        <s v="CHECK 959  "/>
        <s v="FSI*TD AUTO FINANCE 888-939-9876 MI          04/21"/>
        <s v="CHECK 787  "/>
        <s v="Zelle payment from CHRISTINA ALFARO BACmx2q1gult"/>
        <s v="CHECK 956  04/15"/>
        <s v="ATM WITHDRAWAL                       003650  04/136602 GRAN"/>
        <s v="CHECK 955  "/>
        <s v="CHECK 952  "/>
        <s v="CHECK 953  "/>
        <s v="ATM WITHDRAWAL                       008309  04/101003 LEXI"/>
        <s v="ATM WITHDRAWAL                       005049  04/096602 GRAN"/>
        <s v="Payment to Chase card ending in 3909 04/09"/>
        <s v="ORIG CO NAME:AMERICAN EXPRESS       ORIG ID:2005032111 DESC DATE:240408 CO ENTRY DESCR:ACH PMT   SEC:CCD    TRACE#:021000025417307 EED:240408   IND ID:M8178                        IND NAME:colin devlin                                                                                                 ER AM TRN: 0995417307TC"/>
        <s v="Zelle payment from LAWRENCE MAISEL BACtngolvogt"/>
        <s v="Refund of Overdraft Fee charged on 01/31/2023"/>
        <s v="ATM WITHDRAWAL                       008942  03/303818 BROA"/>
        <s v="Online Transfer to CHK ...9199 transaction#: 20304167473 03/29"/>
        <s v="Zelle payment to Plumber 86th St 20304142515"/>
        <s v="ATM WITHDRAWAL                       006916  03/286602 GRAN"/>
        <s v="Zelle payment from CHRISTINA ALFARO BACpxhlp821i"/>
        <s v="CHECK 800  "/>
        <s v="OVERDRAFT FEE FOR A $25.00 ITEM - DETAILS: ORIG CO NAME:NYS DTF CT             ORIG ID:G146013200 DESC DATE:       CO ENTRY DESCR:Tax PaymntSEC:CCD    TRACE#:091000013398763 EED:240319   IND ID:000000110615367              IND NAME:CL2400631013 TRN: 0793398763TC"/>
        <s v="OVERDRAFT FEE FOR A $25.00 ITEM - DETAILS: ORIG CO NAME:NYC DEPT OF FINA       ORIG ID:6136400434 DESC DATE:240318 CO ENTRY DESCR:TAXPAYMENTSEC:PPD    TRACE#:051000013237110 EED:240319   IND ID:                             IND NAME:DEVLIN INTERIORS INC TRN: 0793237110TC"/>
        <s v="ORIG CO NAME:NYS DTF CT             ORIG ID:G146013200 DESC DATE:       CO ENTRY DESCR:Tax PaymntSEC:CCD    TRACE#:091000013398763 EED:240319   IND ID:000000110615367              IND NAME:CL2400631013 TRN: 0793398763TC"/>
        <s v="ORIG CO NAME:NYC DEPT OF FINA       ORIG ID:6136400434 DESC DATE:240318 CO ENTRY DESCR:TAXPAYMENTSEC:PPD    TRACE#:051000013237110 EED:240319   IND ID:                             IND NAME:DEVLIN INTERIORS INC TRN: 0793237110TC"/>
        <s v="OVERDRAFT FEE FOR CHECK #797 IN THE AMOUNT OF $140.00"/>
        <s v="OVERDRAFT FEE FOR CHECK #799 IN THE AMOUNT OF $140.00"/>
        <s v="CHECK 797  "/>
        <s v="CHECK 799  "/>
        <s v="FEE REVERSAL"/>
        <s v="OVERDRAFT FEE FOR A $93.00 ITEM - DETAILS: ORIG CO NAME:AMERICAN EXPRESS       ORIG ID:2005032111 DESC DATE:240305 CO ENTRY DESCR:ACH PMT   SEC:CCD    TRACE#:021000020887450 EED:240305   IND ID:M1874                        IND NAME:colin devlin                                                                                                 ER AM TRN"/>
        <s v="OVERDRAFT FEE FOR A $50.00 ITEM - DETAILS: ORIG CO NAME:CHS payrol  6760       ORIG ID:9IA0517397 DESC DATE:240304 CO ENTRY DESCR:BILLING   SEC:CCD    TRACE#:091311172760400 EED:240304   IND ID:842024147                    IND NAME:Devlin Interiors Inc                                                                                         INVOICE T"/>
        <s v="STOP PAYMENT FEE"/>
        <s v="ORIG CO NAME:AMERICAN EXPRESS       ORIG ID:2005032111 DESC DATE:240305 CO ENTRY DESCR:ACH PMT   SEC:CCD    TRACE#:021000020887450 EED:240305   IND ID:M1874                        IND NAME:colin devlin                                                                                                 ER AM TRN: 0650887450TC"/>
        <s v="Zelle payment from CHRISTINA ALFARO BACqf6dq62bh"/>
        <s v="ORIG CO NAME:CHS payrol  6760       ORIG ID:9IA0517397 DESC DATE:240304 CO ENTRY DESCR:BILLING   SEC:CCD    TRACE#:091311172760400 EED:240304   IND ID:842024147                    IND NAME:Devlin Interiors Inc                                                                                         INVOICE TRN: 0642760400TC"/>
        <s v="Online Transfer from CHK ...9199 transaction#: 20056029668"/>
        <s v="OVERDRAFT FEE FOR CHECK #788 IN THE AMOUNT OF $3,965.00"/>
        <s v="CHECK 788  "/>
        <s v="CHECK 796  "/>
        <s v="CHECK 795  "/>
        <s v="Zelle payment to Plumber 86th St 19976977064"/>
        <s v="CHECK 794  "/>
        <s v="Online Transfer from CHK ...9199 transaction#: 19976955522"/>
        <s v="ORIG CO NAME:E-ZPASS REBILL         ORIG ID:0000284343 DESC DATE:240222 CO ENTRY DESCR:EZP REBILLSEC:WEB    TRACE#:021000021688346 EED:240222   IND ID:2053725                      IND NAME:COLIN *DEVLIN                                                                                                800-333-8655 TRN: 0531688346TC"/>
        <s v="ORIG CO NAME:CHS Payroll LLC        ORIG ID:9IB0517397 DESC DATE:240220 CO ENTRY DESCR:TAX IMPOUNSEC:CCD    TRACE#:091311179636433 EED:240222   IND ID:842024147                    IND NAME:Devlin Interiors                                                                                             TAX IMPOUND TRN: 0539636433TC"/>
        <s v="ATM WITHDRAWAL                       006219  02/212245 31ST"/>
        <s v="FSI*TD AUTO FINANCE 888-939-9876 MI          02/20"/>
        <s v="Zelle payment from CHRISTINA ALFARO BACk5mxeax40"/>
        <s v="ONLINE DOMESTIC WIRE FEE"/>
        <s v="ATM WITHDRAWAL                       003497  02/15345 HUDSO"/>
        <s v="ONLINE DOMESTIC WIRE TRANSFER A/C: TESSA J PERUTZ BROOKLYN NY 11217-1338 US REF: FIRST PAYMENT 47 WALKER ST/BNF/FIRST PAYMENT/ACC/766375260 TESSA PERUT Z 270 PARK AVE NY 10017 NEW YORK NY 10017 US TRN: 3301894046ES 02/15"/>
        <s v="Zelle payment from Lawrence Ennis MSPXMN3ZOq76"/>
        <s v="CHECK 701  "/>
        <s v="CHECK 793  "/>
        <s v="ORIG CO NAME:INTUIT *               ORIG ID:0000756346 DESC DATE:240213 CO ENTRY DESCR:QBooks OnlSEC:CCD    TRACE#:021000025874496 EED:240213   IND ID:9113744                      IND NAME:DEVLIN INTERIORS INC                                                                                         800-446-8848 TRN: 0445874496TC"/>
        <s v="Zelle payment from CHRISTINA ALFARO BACeu8y2zmhr"/>
        <s v="MSFT * E0400QP5VD 800-6427676 WA             02/07"/>
        <s v="MSFT * E0400QBDPO 800-6427676 WA             02/04"/>
        <s v="Zelle payment to Hugo JPM99a8rdm4h"/>
        <s v="Monthly Service Fee Reversal January 2024"/>
        <s v="Zelle payment from CHRISTINA ALFARO BAClv8sywyzv"/>
        <s v="ORIG CO NAME:AMERICAN EXPRESS       ORIG ID:9493560001 DESC DATE:240129 CO ENTRY DESCR:ACH PMT   SEC:CCD    TRACE#:021000021454700 EED:240129   IND ID:A3338                        IND NAME:colin devlin                                                                                                 AM TRN: 0291454700TC"/>
        <s v="ORIG CO NAME:E-ZPASS REBILL         ORIG ID:0000284343 DESC DATE:240128 CO ENTRY DESCR:EZP REBILLSEC:WEB    TRACE#:021000020214309 EED:240129   IND ID:4350174                      IND NAME:COLIN *DEVLIN                                                                                                800-333-8655 TRN: 0290214309TC"/>
        <s v="Online Transfer from CHK ...9199 transaction#: 19706632049"/>
        <s v="Zelle payment from Lawrence Ennis MSPLLFNPaaWa"/>
        <s v="CHECK 792  "/>
        <s v="CHECK 776  "/>
        <s v="ORIG CO NAME:FIRST INSURANCE        ORIG ID:2363437365 DESC DATE:       CO ENTRY DESCR:INSURANCE SEC:CCD    TRACE#:071925331853259 EED:240124   IND ID:900-98374911                 IND NAME:DEVLIN INTERIORS INC                                                                                         PBS ACH DEBIT TRN: 0241853259TC"/>
        <s v="FSI*TD AUTO FINANCE 888-939-9876 MI          01/23"/>
        <s v="OVERDRAFT FEE FOR A $80.00 ITEM - DETAILS: ORIG CO NAME:E-ZPASS REBILL         ORIG ID:0000284343 DESC DATE:240119 CO ENTRY DESCR:EZP REBILLSEC:WEB    TRACE#:021000026228849 EED:240119   IND ID:1855501                      IND NAME:COLIN *DEVLIN                                                                                                800-333-8"/>
        <s v="OVERDRAFT FEE FOR CHECK #791 IN THE AMOUNT OF $140.00"/>
        <s v="ORIG CO NAME:E-ZPASS REBILL         ORIG ID:0000284343 DESC DATE:240119 CO ENTRY DESCR:EZP REBILLSEC:WEB    TRACE#:021000026228849 EED:240119   IND ID:1855501                      IND NAME:COLIN *DEVLIN                                                                                                800-333-8655 TRN: 0196228849TC"/>
        <s v="CHECK 791  "/>
        <s v="OVERDRAFT FEE FOR A $97.99 ITEM - DETAILS: ORIG CO NAME:INTUIT *               ORIG ID:0000756346 DESC DATE:240113 CO ENTRY DESCR:QBooks OnlSEC:CCD    TRACE#:021000022155186 EED:240116   IND ID:9942879                      IND NAME:DEVLIN INTERIORS INC                                                                                         800-446-8"/>
        <s v="OVERDRAFT FEE FOR A $5,369.32 ITEM - DETAILS: ORIG CO NAME:NYSIF                  ORIG ID:9951211000 DESC DATE:JAN 24 CO ENTRY DESCR:WEB_PAY   SEC:WEB    TRACE#:021000021834100 EED:240116   IND ID:01755035122523               IND NAME:COLIN DEVLIN TRN: 0161834100TC"/>
        <s v="ORIG CO NAME:INTUIT *               ORIG ID:0000756346 DESC DATE:240113 CO ENTRY DESCR:QBooks OnlSEC:CCD    TRACE#:021000022155186 EED:240116   IND ID:9942879                      IND NAME:DEVLIN INTERIORS INC                                                                                         800-446-8848 TRN: 0162155186TC"/>
        <s v="ORIG CO NAME:NYSIF                  ORIG ID:9951211000 DESC DATE:JAN 24 CO ENTRY DESCR:WEB_PAY   SEC:WEB    TRACE#:021000021834100 EED:240116   IND ID:01755035122523               IND NAME:COLIN DEVLIN TRN: 0161834100TC"/>
        <s v="CHECK 789  "/>
        <s v="CHECK 790  "/>
        <s v="Zelle payment to Hugo JPM99a7s6ued"/>
        <s v="Online Transfer from CHK ...9199 transaction#: 19541185020"/>
        <s v="SQUARESPACE INC. HTTPSSQUARESP NY            01/09"/>
        <s v="ATM WITHDRAWAL                       002310  01/082245 31ST"/>
        <s v="ORIG CO NAME:AMERICAN EXPRESS       ORIG ID:2005032111 DESC DATE:240105 CO ENTRY DESCR:ACH PMT   SEC:CCD    TRACE#:021000026236019 EED:240105   IND ID:M2874                        IND NAME:colin devlin                                                                                                 ER AM TRN: 0056236019TC"/>
        <s v="ORIG CO NAME:CHS payrol  6760       ORIG ID:9IA0517397 DESC DATE:240103 CO ENTRY DESCR:BILLING   SEC:CCD    TRACE#:091311170856479 EED:240103   IND ID:842024147                    IND NAME:Devlin Interiors Inc                                                                                         INVOICE TRN: 0030856479TC"/>
        <s v="Zelle payment from CHRISTINA ALFARO BACnhv8ap2sd"/>
      </sharedItems>
    </cacheField>
    <cacheField name="Amount" numFmtId="0">
      <sharedItems containsSemiMixedTypes="0" containsString="0" containsNumber="1" minValue="-55102.01" maxValue="55102.01"/>
    </cacheField>
    <cacheField name="Type2" numFmtId="0">
      <sharedItems count="19">
        <s v="ACCT_XFER"/>
        <s v="ACH_CREDIT"/>
        <s v="ACH_DEBIT"/>
        <s v="CHECK_PAID"/>
        <s v="DEBIT_CARD"/>
        <s v="ATM"/>
        <s v="QUICKPAY_DEBIT"/>
        <s v="FEE_TRANSACTION"/>
        <s v="CHECK_DEPOSIT"/>
        <s v="MISC_CREDIT"/>
        <s v="MISC_DEBIT"/>
        <s v="PARTNERFI_TO_CHASE"/>
        <s v="LOAN_PMT"/>
        <s v="ATM_DEPOSIT"/>
        <s v="CHASE_TO_PARTNERFI"/>
        <s v="DEPOSIT"/>
        <s v="QUICKPAY_CREDIT"/>
        <s v="REFUND_TRANSACTION"/>
        <s v="WIRE_OUTGOING"/>
      </sharedItems>
    </cacheField>
    <cacheField name="Balance" numFmtId="0">
      <sharedItems containsSemiMixedTypes="0" containsString="0" containsNumber="1" minValue="-1338.85" maxValue="79689.899999999994"/>
    </cacheField>
    <cacheField name="Check or Slip #" numFmtId="0">
      <sharedItems containsString="0" containsBlank="1" containsNumber="1" containsInteger="1" minValue="1" maxValue="15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ri" refreshedDate="45714.739805439815" createdVersion="8" refreshedVersion="8" minRefreshableVersion="3" recordCount="67" xr:uid="{5BD515C3-1DFA-4741-ABFA-18FF3C763021}">
  <cacheSource type="worksheet">
    <worksheetSource ref="A1:H68" sheet="Credit Card Expenses"/>
  </cacheSource>
  <cacheFields count="8">
    <cacheField name="Card" numFmtId="0">
      <sharedItems containsSemiMixedTypes="0" containsString="0" containsNumber="1" containsInteger="1" minValue="3909" maxValue="3909"/>
    </cacheField>
    <cacheField name="Transaction Date" numFmtId="14">
      <sharedItems containsSemiMixedTypes="0" containsNonDate="0" containsDate="1" containsString="0" minDate="2024-01-01T00:00:00" maxDate="2024-12-25T00:00:00"/>
    </cacheField>
    <cacheField name="Post Date" numFmtId="14">
      <sharedItems containsSemiMixedTypes="0" containsNonDate="0" containsDate="1" containsString="0" minDate="2024-01-01T00:00:00" maxDate="2024-12-26T00:00:00"/>
    </cacheField>
    <cacheField name="Description" numFmtId="0">
      <sharedItems count="22">
        <s v="Spectrum"/>
        <s v="AUTOMATIC PAYMENT - THANK"/>
        <s v="Payment Thank You-Mobile"/>
        <s v="NYCDOT PARKING METERS"/>
        <s v="THE HOME DEPOT #1220"/>
        <s v="AMERICANTRUCKS.COM"/>
        <s v="1000BULBS.COM"/>
        <s v="SHERWIN WILLIAMS 701838"/>
        <s v="HAFELE AMERICA CO"/>
        <s v="PURCHASE INTEREST CHARGE"/>
        <s v="Payment Thank You - 2nd A"/>
        <s v="Returned Payment"/>
        <s v="LATE FEE"/>
        <s v="THE HOME DEPOT #6844"/>
        <s v="THE HOME DEPOT 6844"/>
        <s v="EXXON ASTORIA 44TH ST SER"/>
        <s v="APB BUILDERS"/>
        <s v="CHINA TOWN BUILDING SUPPL"/>
        <s v="THE HOME DEPOT 1255"/>
        <s v="NEMO TILE CO. INC."/>
        <s v="TRIBORO PRINTING CORP"/>
        <s v="G&amp;amp;G ELECTRIC SUPPLY CO -"/>
      </sharedItems>
    </cacheField>
    <cacheField name="Category" numFmtId="0">
      <sharedItems containsBlank="1" count="9">
        <s v="Bills &amp; Utilities"/>
        <m/>
        <s v="Travel"/>
        <s v="Repair &amp; Maintenance"/>
        <s v="Automotive"/>
        <s v="Fees &amp; Adjustments"/>
        <s v="Gas"/>
        <s v="Professional Services"/>
        <s v="Office &amp; Shipping"/>
      </sharedItems>
    </cacheField>
    <cacheField name="Type" numFmtId="0">
      <sharedItems count="4">
        <s v="Sale"/>
        <s v="Payment"/>
        <s v="Fee"/>
        <s v="Reversal"/>
      </sharedItems>
    </cacheField>
    <cacheField name="Amount" numFmtId="0">
      <sharedItems containsSemiMixedTypes="0" containsString="0" containsNumber="1" minValue="-1798.01" maxValue="6280.4"/>
    </cacheField>
    <cacheField name="Memo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ri" refreshedDate="45732.84337141204" createdVersion="8" refreshedVersion="8" minRefreshableVersion="3" recordCount="400" xr:uid="{698E667C-FD64-4ACA-98A1-1E22DB0FD1C6}">
  <cacheSource type="worksheet">
    <worksheetSource ref="A1:L401" sheet="Bank Activity - Sorted" r:id="rId2"/>
  </cacheSource>
  <cacheFields count="12">
    <cacheField name="Bank Account" numFmtId="0">
      <sharedItems/>
    </cacheField>
    <cacheField name="Type" numFmtId="0">
      <sharedItems/>
    </cacheField>
    <cacheField name="Details" numFmtId="0">
      <sharedItems/>
    </cacheField>
    <cacheField name="Posting Date" numFmtId="14">
      <sharedItems containsSemiMixedTypes="0" containsNonDate="0" containsDate="1" containsString="0" minDate="2024-01-02T00:00:00" maxDate="2024-12-31T00:00:00"/>
    </cacheField>
    <cacheField name="Description" numFmtId="0">
      <sharedItems longText="1"/>
    </cacheField>
    <cacheField name="Amount" numFmtId="164">
      <sharedItems containsSemiMixedTypes="0" containsString="0" containsNumber="1" minValue="-55102.01" maxValue="55102.01"/>
    </cacheField>
    <cacheField name="Type2" numFmtId="0">
      <sharedItems/>
    </cacheField>
    <cacheField name="Balance" numFmtId="164">
      <sharedItems containsSemiMixedTypes="0" containsString="0" containsNumber="1" minValue="-1338.85" maxValue="79689.899999999994"/>
    </cacheField>
    <cacheField name="Check or Slip #" numFmtId="0">
      <sharedItems containsString="0" containsBlank="1" containsNumber="1" containsInteger="1" minValue="1" maxValue="1581"/>
    </cacheField>
    <cacheField name="Type3" numFmtId="0">
      <sharedItems count="2">
        <s v="Expense"/>
        <s v="Income"/>
      </sharedItems>
    </cacheField>
    <cacheField name="Tag" numFmtId="0">
      <sharedItems count="15">
        <s v="Exclude"/>
        <s v="COGS"/>
        <s v="Insurance"/>
        <s v="Income"/>
        <s v="Services"/>
        <s v="Taxes"/>
        <s v="Auto Loan"/>
        <s v="Payroll"/>
        <s v="Fees"/>
        <s v="Tolls"/>
        <s v="Subscriptions"/>
        <s v="Supplies"/>
        <s v="Bank Fees"/>
        <s v="Refund"/>
        <s v="Fee Reversal"/>
      </sharedItems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Chase3789"/>
    <x v="0"/>
    <s v="DEBIT"/>
    <d v="2024-12-30T00:00:00"/>
    <x v="0"/>
    <n v="-1361.43"/>
    <x v="0"/>
    <n v="7417.96"/>
    <m/>
  </r>
  <r>
    <s v="Chase3789"/>
    <x v="0"/>
    <s v="DEBIT"/>
    <d v="2024-12-27T00:00:00"/>
    <x v="1"/>
    <n v="-1361.43"/>
    <x v="0"/>
    <n v="8779.39"/>
    <m/>
  </r>
  <r>
    <s v="Chase3789"/>
    <x v="0"/>
    <s v="DEBIT"/>
    <d v="2024-12-27T00:00:00"/>
    <x v="2"/>
    <n v="-1361.43"/>
    <x v="0"/>
    <n v="10140.82"/>
    <m/>
  </r>
  <r>
    <s v="Chase3789"/>
    <x v="0"/>
    <s v="CREDIT"/>
    <d v="2024-12-26T00:00:00"/>
    <x v="3"/>
    <n v="0.13"/>
    <x v="1"/>
    <n v="11502.25"/>
    <m/>
  </r>
  <r>
    <s v="Chase3789"/>
    <x v="0"/>
    <s v="CREDIT"/>
    <d v="2024-12-26T00:00:00"/>
    <x v="4"/>
    <n v="0.17"/>
    <x v="1"/>
    <n v="11502.12"/>
    <m/>
  </r>
  <r>
    <s v="Chase3789"/>
    <x v="0"/>
    <s v="DEBIT"/>
    <d v="2024-12-24T00:00:00"/>
    <x v="5"/>
    <n v="-0.3"/>
    <x v="2"/>
    <n v="11501.95"/>
    <m/>
  </r>
  <r>
    <s v="Chase3789"/>
    <x v="0"/>
    <s v="CHECK"/>
    <d v="2024-12-23T00:00:00"/>
    <x v="6"/>
    <n v="-16900"/>
    <x v="3"/>
    <n v="11502.25"/>
    <n v="1581"/>
  </r>
  <r>
    <s v="Chase3789"/>
    <x v="0"/>
    <s v="DEBIT"/>
    <d v="2024-12-23T00:00:00"/>
    <x v="7"/>
    <n v="-1361.43"/>
    <x v="0"/>
    <n v="28402.25"/>
    <m/>
  </r>
  <r>
    <s v="Chase3789"/>
    <x v="0"/>
    <s v="CHECK"/>
    <d v="2024-12-23T00:00:00"/>
    <x v="8"/>
    <n v="-4088.59"/>
    <x v="3"/>
    <n v="29763.68"/>
    <n v="1576"/>
  </r>
  <r>
    <s v="Chase3789"/>
    <x v="0"/>
    <s v="DEBIT"/>
    <d v="2024-12-23T00:00:00"/>
    <x v="9"/>
    <n v="-654.41"/>
    <x v="2"/>
    <n v="33852.269999999997"/>
    <m/>
  </r>
  <r>
    <s v="Chase3789"/>
    <x v="0"/>
    <s v="DEBIT"/>
    <d v="2024-12-20T00:00:00"/>
    <x v="10"/>
    <n v="-1361.43"/>
    <x v="0"/>
    <n v="34506.68"/>
    <m/>
  </r>
  <r>
    <s v="Chase3789"/>
    <x v="0"/>
    <s v="DEBIT"/>
    <d v="2024-12-20T00:00:00"/>
    <x v="11"/>
    <n v="-1361.43"/>
    <x v="0"/>
    <n v="35868.11"/>
    <m/>
  </r>
  <r>
    <s v="Chase3789"/>
    <x v="0"/>
    <s v="DEBIT"/>
    <d v="2024-12-20T00:00:00"/>
    <x v="12"/>
    <n v="-7.99"/>
    <x v="4"/>
    <n v="37229.54"/>
    <m/>
  </r>
  <r>
    <s v="Chase3789"/>
    <x v="0"/>
    <s v="CHECK"/>
    <d v="2024-12-19T00:00:00"/>
    <x v="13"/>
    <n v="-280"/>
    <x v="3"/>
    <n v="37237.53"/>
    <n v="1580"/>
  </r>
  <r>
    <s v="Chase3789"/>
    <x v="0"/>
    <s v="DEBIT"/>
    <d v="2024-12-19T00:00:00"/>
    <x v="14"/>
    <n v="-1000"/>
    <x v="5"/>
    <n v="37517.53"/>
    <m/>
  </r>
  <r>
    <s v="Chase3789"/>
    <x v="0"/>
    <s v="DEBIT"/>
    <d v="2024-12-19T00:00:00"/>
    <x v="15"/>
    <n v="-20.25"/>
    <x v="2"/>
    <n v="38517.53"/>
    <m/>
  </r>
  <r>
    <s v="Chase3789"/>
    <x v="0"/>
    <s v="DEBIT"/>
    <d v="2024-12-19T00:00:00"/>
    <x v="16"/>
    <n v="-568.96"/>
    <x v="2"/>
    <n v="38537.78"/>
    <m/>
  </r>
  <r>
    <s v="Chase3789"/>
    <x v="0"/>
    <s v="CHECK"/>
    <d v="2024-12-17T00:00:00"/>
    <x v="17"/>
    <n v="-5500"/>
    <x v="3"/>
    <n v="39106.74"/>
    <n v="1578"/>
  </r>
  <r>
    <s v="Chase3789"/>
    <x v="0"/>
    <s v="DEBIT"/>
    <d v="2024-12-17T00:00:00"/>
    <x v="18"/>
    <n v="-192"/>
    <x v="4"/>
    <n v="44606.74"/>
    <m/>
  </r>
  <r>
    <s v="Chase3789"/>
    <x v="0"/>
    <s v="CHECK"/>
    <d v="2024-12-16T00:00:00"/>
    <x v="19"/>
    <n v="-2459.79"/>
    <x v="3"/>
    <n v="44798.74"/>
    <n v="1577"/>
  </r>
  <r>
    <s v="Chase3789"/>
    <x v="0"/>
    <s v="DEBIT"/>
    <d v="2024-12-16T00:00:00"/>
    <x v="20"/>
    <n v="-1000"/>
    <x v="5"/>
    <n v="47258.53"/>
    <m/>
  </r>
  <r>
    <s v="Chase3789"/>
    <x v="0"/>
    <s v="DEBIT"/>
    <d v="2024-12-16T00:00:00"/>
    <x v="21"/>
    <n v="-1361.43"/>
    <x v="0"/>
    <n v="48258.53"/>
    <m/>
  </r>
  <r>
    <s v="Chase3789"/>
    <x v="0"/>
    <s v="DEBIT"/>
    <d v="2024-12-13T00:00:00"/>
    <x v="22"/>
    <n v="-1300"/>
    <x v="6"/>
    <n v="49619.96"/>
    <m/>
  </r>
  <r>
    <s v="Chase3789"/>
    <x v="0"/>
    <s v="DEBIT"/>
    <d v="2024-12-13T00:00:00"/>
    <x v="23"/>
    <n v="-1000"/>
    <x v="5"/>
    <n v="50919.96"/>
    <m/>
  </r>
  <r>
    <s v="Chase3789"/>
    <x v="0"/>
    <s v="DEBIT"/>
    <d v="2024-12-13T00:00:00"/>
    <x v="24"/>
    <n v="-1361.43"/>
    <x v="0"/>
    <n v="51919.96"/>
    <m/>
  </r>
  <r>
    <s v="Chase3789"/>
    <x v="0"/>
    <s v="DEBIT"/>
    <d v="2024-12-13T00:00:00"/>
    <x v="25"/>
    <n v="-1361.43"/>
    <x v="0"/>
    <n v="53281.39"/>
    <m/>
  </r>
  <r>
    <s v="Chase3789"/>
    <x v="0"/>
    <s v="DEBIT"/>
    <d v="2024-12-13T00:00:00"/>
    <x v="26"/>
    <n v="-102.78"/>
    <x v="4"/>
    <n v="54642.82"/>
    <m/>
  </r>
  <r>
    <s v="Chase3789"/>
    <x v="0"/>
    <s v="DEBIT"/>
    <d v="2024-12-12T00:00:00"/>
    <x v="27"/>
    <n v="-400"/>
    <x v="5"/>
    <n v="54745.599999999999"/>
    <m/>
  </r>
  <r>
    <s v="Chase3789"/>
    <x v="0"/>
    <s v="DEBIT"/>
    <d v="2024-12-12T00:00:00"/>
    <x v="28"/>
    <n v="-40.25"/>
    <x v="2"/>
    <n v="55145.599999999999"/>
    <m/>
  </r>
  <r>
    <s v="Chase3789"/>
    <x v="0"/>
    <s v="DEBIT"/>
    <d v="2024-12-12T00:00:00"/>
    <x v="29"/>
    <n v="-568.96"/>
    <x v="2"/>
    <n v="55185.85"/>
    <m/>
  </r>
  <r>
    <s v="Chase3789"/>
    <x v="0"/>
    <s v="DEBIT"/>
    <d v="2024-12-11T00:00:00"/>
    <x v="30"/>
    <n v="-95.25"/>
    <x v="2"/>
    <n v="55754.81"/>
    <m/>
  </r>
  <r>
    <s v="Chase3789"/>
    <x v="0"/>
    <s v="DEBIT"/>
    <d v="2024-12-11T00:00:00"/>
    <x v="31"/>
    <n v="-625.47"/>
    <x v="2"/>
    <n v="55850.06"/>
    <m/>
  </r>
  <r>
    <s v="Chase3789"/>
    <x v="0"/>
    <s v="DEBIT"/>
    <d v="2024-12-11T00:00:00"/>
    <x v="32"/>
    <n v="-597.20000000000005"/>
    <x v="2"/>
    <n v="56475.53"/>
    <m/>
  </r>
  <r>
    <s v="Chase3789"/>
    <x v="0"/>
    <s v="DEBIT"/>
    <d v="2024-12-10T00:00:00"/>
    <x v="33"/>
    <n v="-30"/>
    <x v="7"/>
    <n v="57072.73"/>
    <m/>
  </r>
  <r>
    <s v="Chase3789"/>
    <x v="0"/>
    <s v="DEBIT"/>
    <d v="2024-12-09T00:00:00"/>
    <x v="34"/>
    <n v="-1361.43"/>
    <x v="0"/>
    <n v="57102.73"/>
    <m/>
  </r>
  <r>
    <s v="Chase3789"/>
    <x v="0"/>
    <s v="DEBIT"/>
    <d v="2024-12-09T00:00:00"/>
    <x v="35"/>
    <n v="-2.99"/>
    <x v="4"/>
    <n v="58464.160000000003"/>
    <m/>
  </r>
  <r>
    <s v="Chase3789"/>
    <x v="0"/>
    <s v="DEBIT"/>
    <d v="2024-12-09T00:00:00"/>
    <x v="36"/>
    <n v="-400"/>
    <x v="5"/>
    <n v="58467.15"/>
    <m/>
  </r>
  <r>
    <s v="Chase3789"/>
    <x v="0"/>
    <s v="DSLIP"/>
    <d v="2024-12-09T00:00:00"/>
    <x v="37"/>
    <n v="2300"/>
    <x v="8"/>
    <n v="58867.15"/>
    <n v="1"/>
  </r>
  <r>
    <s v="Chase3789"/>
    <x v="0"/>
    <s v="DEBIT"/>
    <d v="2024-12-06T00:00:00"/>
    <x v="38"/>
    <n v="-1361.43"/>
    <x v="0"/>
    <n v="56567.15"/>
    <m/>
  </r>
  <r>
    <s v="Chase3789"/>
    <x v="0"/>
    <s v="DEBIT"/>
    <d v="2024-12-06T00:00:00"/>
    <x v="39"/>
    <n v="-1361.43"/>
    <x v="0"/>
    <n v="57928.58"/>
    <m/>
  </r>
  <r>
    <s v="Chase3789"/>
    <x v="0"/>
    <s v="DSLIP"/>
    <d v="2024-12-04T00:00:00"/>
    <x v="37"/>
    <n v="4188"/>
    <x v="8"/>
    <n v="59290.01"/>
    <n v="1"/>
  </r>
  <r>
    <s v="Chase3789"/>
    <x v="0"/>
    <s v="CREDIT"/>
    <d v="2024-12-03T00:00:00"/>
    <x v="40"/>
    <n v="55102.01"/>
    <x v="9"/>
    <n v="55102.01"/>
    <m/>
  </r>
  <r>
    <s v="Chase0117"/>
    <x v="1"/>
    <s v="DEBIT"/>
    <d v="2024-12-03T00:00:00"/>
    <x v="41"/>
    <n v="-55102.01"/>
    <x v="10"/>
    <n v="0"/>
    <m/>
  </r>
  <r>
    <s v="Chase0117"/>
    <x v="1"/>
    <s v="DEBIT"/>
    <d v="2024-12-02T00:00:00"/>
    <x v="42"/>
    <n v="-500"/>
    <x v="2"/>
    <n v="55102.01"/>
    <m/>
  </r>
  <r>
    <s v="Chase0117"/>
    <x v="1"/>
    <s v="DEBIT"/>
    <d v="2024-12-02T00:00:00"/>
    <x v="43"/>
    <n v="-1361.43"/>
    <x v="0"/>
    <n v="55602.01"/>
    <m/>
  </r>
  <r>
    <s v="Chase0117"/>
    <x v="1"/>
    <s v="DEBIT"/>
    <d v="2024-12-02T00:00:00"/>
    <x v="44"/>
    <n v="-622.89"/>
    <x v="4"/>
    <n v="56963.44"/>
    <m/>
  </r>
  <r>
    <s v="Chase0117"/>
    <x v="1"/>
    <s v="CREDIT"/>
    <d v="2024-12-02T00:00:00"/>
    <x v="45"/>
    <n v="100"/>
    <x v="11"/>
    <n v="57586.33"/>
    <m/>
  </r>
  <r>
    <s v="Chase0117"/>
    <x v="1"/>
    <s v="DEBIT"/>
    <d v="2024-11-29T00:00:00"/>
    <x v="46"/>
    <n v="-1361.43"/>
    <x v="0"/>
    <n v="57486.33"/>
    <m/>
  </r>
  <r>
    <s v="Chase0117"/>
    <x v="1"/>
    <s v="DEBIT"/>
    <d v="2024-11-29T00:00:00"/>
    <x v="47"/>
    <n v="-20.25"/>
    <x v="2"/>
    <n v="58847.76"/>
    <m/>
  </r>
  <r>
    <s v="Chase0117"/>
    <x v="1"/>
    <s v="DEBIT"/>
    <d v="2024-11-29T00:00:00"/>
    <x v="48"/>
    <n v="-610.36"/>
    <x v="2"/>
    <n v="58868.01"/>
    <m/>
  </r>
  <r>
    <s v="Chase0117"/>
    <x v="1"/>
    <s v="CHECK"/>
    <d v="2024-11-27T00:00:00"/>
    <x v="49"/>
    <n v="-2459.79"/>
    <x v="3"/>
    <n v="59478.37"/>
    <n v="717"/>
  </r>
  <r>
    <s v="Chase0117"/>
    <x v="1"/>
    <s v="DEBIT"/>
    <d v="2024-11-27T00:00:00"/>
    <x v="50"/>
    <n v="-9785.2199999999993"/>
    <x v="2"/>
    <n v="61938.16"/>
    <m/>
  </r>
  <r>
    <s v="Chase0117"/>
    <x v="1"/>
    <s v="CHECK"/>
    <d v="2024-11-27T00:00:00"/>
    <x v="51"/>
    <n v="-4000"/>
    <x v="3"/>
    <n v="71723.38"/>
    <n v="716"/>
  </r>
  <r>
    <s v="Chase0117"/>
    <x v="1"/>
    <s v="CHECK"/>
    <d v="2024-11-26T00:00:00"/>
    <x v="52"/>
    <n v="-1105.0899999999999"/>
    <x v="3"/>
    <n v="75723.38"/>
    <n v="710"/>
  </r>
  <r>
    <s v="Chase0117"/>
    <x v="1"/>
    <s v="DEBIT"/>
    <d v="2024-11-25T00:00:00"/>
    <x v="53"/>
    <n v="-500"/>
    <x v="2"/>
    <n v="76828.47"/>
    <m/>
  </r>
  <r>
    <s v="Chase0117"/>
    <x v="1"/>
    <s v="DEBIT"/>
    <d v="2024-11-25T00:00:00"/>
    <x v="54"/>
    <n v="-1000"/>
    <x v="5"/>
    <n v="77328.47"/>
    <m/>
  </r>
  <r>
    <s v="Chase0117"/>
    <x v="1"/>
    <s v="DEBIT"/>
    <d v="2024-11-25T00:00:00"/>
    <x v="55"/>
    <n v="-1361.43"/>
    <x v="0"/>
    <n v="78328.47"/>
    <m/>
  </r>
  <r>
    <s v="Chase0117"/>
    <x v="1"/>
    <s v="DSLIP"/>
    <d v="2024-11-25T00:00:00"/>
    <x v="37"/>
    <n v="7017"/>
    <x v="8"/>
    <n v="79689.899999999994"/>
    <n v="1"/>
  </r>
  <r>
    <s v="Chase0117"/>
    <x v="1"/>
    <s v="DSLIP"/>
    <d v="2024-11-25T00:00:00"/>
    <x v="37"/>
    <n v="7244"/>
    <x v="8"/>
    <n v="72672.899999999994"/>
    <n v="1"/>
  </r>
  <r>
    <s v="Chase0117"/>
    <x v="1"/>
    <s v="DEBIT"/>
    <d v="2024-11-22T00:00:00"/>
    <x v="56"/>
    <n v="-1807.05"/>
    <x v="12"/>
    <n v="65428.9"/>
    <m/>
  </r>
  <r>
    <s v="Chase0117"/>
    <x v="1"/>
    <s v="DEBIT"/>
    <d v="2024-11-22T00:00:00"/>
    <x v="57"/>
    <n v="-1361.43"/>
    <x v="0"/>
    <n v="67235.95"/>
    <m/>
  </r>
  <r>
    <s v="Chase0117"/>
    <x v="1"/>
    <s v="CHECK"/>
    <d v="2024-11-22T00:00:00"/>
    <x v="58"/>
    <n v="-4000"/>
    <x v="3"/>
    <n v="68597.38"/>
    <n v="1000"/>
  </r>
  <r>
    <s v="Chase0117"/>
    <x v="1"/>
    <s v="DEBIT"/>
    <d v="2024-11-22T00:00:00"/>
    <x v="59"/>
    <n v="-654.41"/>
    <x v="4"/>
    <n v="72597.38"/>
    <m/>
  </r>
  <r>
    <s v="Chase0117"/>
    <x v="1"/>
    <s v="DEBIT"/>
    <d v="2024-11-21T00:00:00"/>
    <x v="60"/>
    <n v="-20.25"/>
    <x v="2"/>
    <n v="73251.789999999994"/>
    <m/>
  </r>
  <r>
    <s v="Chase0117"/>
    <x v="1"/>
    <s v="DEBIT"/>
    <d v="2024-11-21T00:00:00"/>
    <x v="61"/>
    <n v="-610.36"/>
    <x v="2"/>
    <n v="73272.039999999994"/>
    <m/>
  </r>
  <r>
    <s v="Chase0117"/>
    <x v="1"/>
    <s v="DEBIT"/>
    <d v="2024-11-21T00:00:00"/>
    <x v="62"/>
    <n v="-7.99"/>
    <x v="4"/>
    <n v="73882.399999999994"/>
    <m/>
  </r>
  <r>
    <s v="Chase0117"/>
    <x v="1"/>
    <s v="DEBIT"/>
    <d v="2024-11-20T00:00:00"/>
    <x v="63"/>
    <n v="-1200"/>
    <x v="4"/>
    <n v="73890.39"/>
    <m/>
  </r>
  <r>
    <s v="Chase0117"/>
    <x v="1"/>
    <s v="DEBIT"/>
    <d v="2024-11-19T00:00:00"/>
    <x v="64"/>
    <n v="-1000"/>
    <x v="5"/>
    <n v="75090.39"/>
    <m/>
  </r>
  <r>
    <s v="Chase0117"/>
    <x v="1"/>
    <s v="DEBIT"/>
    <d v="2024-11-19T00:00:00"/>
    <x v="65"/>
    <n v="-40.26"/>
    <x v="4"/>
    <n v="76090.39"/>
    <m/>
  </r>
  <r>
    <s v="Chase0117"/>
    <x v="1"/>
    <s v="CREDIT"/>
    <d v="2024-11-19T00:00:00"/>
    <x v="66"/>
    <n v="38656.269999999997"/>
    <x v="13"/>
    <n v="76130.649999999994"/>
    <m/>
  </r>
  <r>
    <s v="Chase0117"/>
    <x v="1"/>
    <s v="DEBIT"/>
    <d v="2024-11-18T00:00:00"/>
    <x v="67"/>
    <n v="-500"/>
    <x v="2"/>
    <n v="37474.379999999997"/>
    <m/>
  </r>
  <r>
    <s v="Chase0117"/>
    <x v="1"/>
    <s v="CHECK"/>
    <d v="2024-11-18T00:00:00"/>
    <x v="68"/>
    <n v="-4088.59"/>
    <x v="3"/>
    <n v="37974.379999999997"/>
    <n v="713"/>
  </r>
  <r>
    <s v="Chase0117"/>
    <x v="1"/>
    <s v="DEBIT"/>
    <d v="2024-11-18T00:00:00"/>
    <x v="69"/>
    <n v="-1361.43"/>
    <x v="0"/>
    <n v="42062.97"/>
    <m/>
  </r>
  <r>
    <s v="Chase0117"/>
    <x v="1"/>
    <s v="DEBIT"/>
    <d v="2024-11-18T00:00:00"/>
    <x v="70"/>
    <n v="-600"/>
    <x v="5"/>
    <n v="43424.4"/>
    <m/>
  </r>
  <r>
    <s v="Chase0117"/>
    <x v="1"/>
    <s v="DEBIT"/>
    <d v="2024-11-18T00:00:00"/>
    <x v="71"/>
    <n v="-25.02"/>
    <x v="4"/>
    <n v="44024.4"/>
    <m/>
  </r>
  <r>
    <s v="Chase0117"/>
    <x v="1"/>
    <s v="DSLIP"/>
    <d v="2024-11-18T00:00:00"/>
    <x v="37"/>
    <n v="350"/>
    <x v="8"/>
    <n v="44049.42"/>
    <n v="1"/>
  </r>
  <r>
    <s v="Chase0117"/>
    <x v="1"/>
    <s v="DEBIT"/>
    <d v="2024-11-15T00:00:00"/>
    <x v="72"/>
    <n v="-800"/>
    <x v="5"/>
    <n v="43699.42"/>
    <m/>
  </r>
  <r>
    <s v="Chase0117"/>
    <x v="1"/>
    <s v="DEBIT"/>
    <d v="2024-11-15T00:00:00"/>
    <x v="73"/>
    <n v="-11157.18"/>
    <x v="12"/>
    <n v="44499.42"/>
    <m/>
  </r>
  <r>
    <s v="Chase0117"/>
    <x v="1"/>
    <s v="DEBIT"/>
    <d v="2024-11-15T00:00:00"/>
    <x v="74"/>
    <n v="-1361.43"/>
    <x v="0"/>
    <n v="55656.6"/>
    <m/>
  </r>
  <r>
    <s v="Chase0117"/>
    <x v="1"/>
    <s v="CHECK"/>
    <d v="2024-11-14T00:00:00"/>
    <x v="75"/>
    <n v="-140"/>
    <x v="3"/>
    <n v="57018.03"/>
    <n v="712"/>
  </r>
  <r>
    <s v="Chase0117"/>
    <x v="1"/>
    <s v="CHECK"/>
    <d v="2024-11-14T00:00:00"/>
    <x v="76"/>
    <n v="-140"/>
    <x v="3"/>
    <n v="57158.03"/>
    <n v="708"/>
  </r>
  <r>
    <s v="Chase0117"/>
    <x v="1"/>
    <s v="CHECK"/>
    <d v="2024-11-14T00:00:00"/>
    <x v="77"/>
    <n v="-140"/>
    <x v="3"/>
    <n v="57298.03"/>
    <n v="711"/>
  </r>
  <r>
    <s v="Chase0117"/>
    <x v="1"/>
    <s v="DEBIT"/>
    <d v="2024-11-14T00:00:00"/>
    <x v="78"/>
    <n v="-20.25"/>
    <x v="2"/>
    <n v="57438.03"/>
    <m/>
  </r>
  <r>
    <s v="Chase0117"/>
    <x v="1"/>
    <s v="DEBIT"/>
    <d v="2024-11-14T00:00:00"/>
    <x v="79"/>
    <n v="-612.76"/>
    <x v="2"/>
    <n v="57458.28"/>
    <m/>
  </r>
  <r>
    <s v="Chase0117"/>
    <x v="1"/>
    <s v="DSLIP"/>
    <d v="2024-11-14T00:00:00"/>
    <x v="37"/>
    <n v="2626"/>
    <x v="8"/>
    <n v="58071.040000000001"/>
    <n v="1"/>
  </r>
  <r>
    <s v="Chase0117"/>
    <x v="1"/>
    <s v="DSLIP"/>
    <d v="2024-11-14T00:00:00"/>
    <x v="37"/>
    <n v="3719"/>
    <x v="8"/>
    <n v="55445.04"/>
    <n v="1"/>
  </r>
  <r>
    <s v="Chase0117"/>
    <x v="1"/>
    <s v="DEBIT"/>
    <d v="2024-11-12T00:00:00"/>
    <x v="80"/>
    <n v="-50"/>
    <x v="2"/>
    <n v="51726.04"/>
    <m/>
  </r>
  <r>
    <s v="Chase0117"/>
    <x v="1"/>
    <s v="DEBIT"/>
    <d v="2024-11-12T00:00:00"/>
    <x v="81"/>
    <n v="-500"/>
    <x v="2"/>
    <n v="51776.04"/>
    <m/>
  </r>
  <r>
    <s v="Chase0117"/>
    <x v="1"/>
    <s v="DEBIT"/>
    <d v="2024-11-12T00:00:00"/>
    <x v="82"/>
    <n v="-1000"/>
    <x v="5"/>
    <n v="52276.04"/>
    <m/>
  </r>
  <r>
    <s v="Chase0117"/>
    <x v="1"/>
    <s v="DSLIP"/>
    <d v="2024-11-12T00:00:00"/>
    <x v="37"/>
    <n v="1931"/>
    <x v="8"/>
    <n v="53276.04"/>
    <n v="1"/>
  </r>
  <r>
    <s v="Chase0117"/>
    <x v="1"/>
    <s v="DEBIT"/>
    <d v="2024-11-08T00:00:00"/>
    <x v="83"/>
    <n v="-2000"/>
    <x v="10"/>
    <n v="51345.04"/>
    <m/>
  </r>
  <r>
    <s v="Chase0117"/>
    <x v="1"/>
    <s v="DEBIT"/>
    <d v="2024-11-08T00:00:00"/>
    <x v="84"/>
    <n v="-800"/>
    <x v="5"/>
    <n v="53345.04"/>
    <m/>
  </r>
  <r>
    <s v="Chase0117"/>
    <x v="1"/>
    <s v="DEBIT"/>
    <d v="2024-11-08T00:00:00"/>
    <x v="85"/>
    <n v="-1361.43"/>
    <x v="0"/>
    <n v="54145.04"/>
    <m/>
  </r>
  <r>
    <s v="Chase0117"/>
    <x v="1"/>
    <s v="DEBIT"/>
    <d v="2024-11-08T00:00:00"/>
    <x v="86"/>
    <n v="-2.99"/>
    <x v="4"/>
    <n v="55506.47"/>
    <m/>
  </r>
  <r>
    <s v="Chase0117"/>
    <x v="1"/>
    <s v="DEBIT"/>
    <d v="2024-11-07T00:00:00"/>
    <x v="87"/>
    <n v="-1000"/>
    <x v="5"/>
    <n v="55509.46"/>
    <m/>
  </r>
  <r>
    <s v="Chase0117"/>
    <x v="1"/>
    <s v="DEBIT"/>
    <d v="2024-11-07T00:00:00"/>
    <x v="88"/>
    <n v="-70.25"/>
    <x v="2"/>
    <n v="56509.46"/>
    <m/>
  </r>
  <r>
    <s v="Chase0117"/>
    <x v="1"/>
    <s v="DEBIT"/>
    <d v="2024-11-07T00:00:00"/>
    <x v="89"/>
    <n v="-621.16"/>
    <x v="2"/>
    <n v="56579.71"/>
    <m/>
  </r>
  <r>
    <s v="Chase0117"/>
    <x v="1"/>
    <s v="DEBIT"/>
    <d v="2024-11-05T00:00:00"/>
    <x v="90"/>
    <n v="-5000"/>
    <x v="2"/>
    <n v="57200.87"/>
    <m/>
  </r>
  <r>
    <s v="Chase0117"/>
    <x v="1"/>
    <s v="DSLIP"/>
    <d v="2024-11-05T00:00:00"/>
    <x v="37"/>
    <n v="6000"/>
    <x v="8"/>
    <n v="62200.87"/>
    <n v="1"/>
  </r>
  <r>
    <s v="Chase0117"/>
    <x v="1"/>
    <s v="DEBIT"/>
    <d v="2024-11-04T00:00:00"/>
    <x v="91"/>
    <n v="-500"/>
    <x v="2"/>
    <n v="56200.87"/>
    <m/>
  </r>
  <r>
    <s v="Chase0117"/>
    <x v="1"/>
    <s v="CHECK"/>
    <d v="2024-11-04T00:00:00"/>
    <x v="92"/>
    <n v="-2459.79"/>
    <x v="3"/>
    <n v="56700.87"/>
    <n v="709"/>
  </r>
  <r>
    <s v="Chase0117"/>
    <x v="1"/>
    <s v="DEBIT"/>
    <d v="2024-11-04T00:00:00"/>
    <x v="93"/>
    <n v="-1000"/>
    <x v="5"/>
    <n v="59160.66"/>
    <m/>
  </r>
  <r>
    <s v="Chase0117"/>
    <x v="1"/>
    <s v="DEBIT"/>
    <d v="2024-11-04T00:00:00"/>
    <x v="94"/>
    <n v="-2000"/>
    <x v="4"/>
    <n v="60160.66"/>
    <m/>
  </r>
  <r>
    <s v="Chase0117"/>
    <x v="1"/>
    <s v="DEBIT"/>
    <d v="2024-11-01T00:00:00"/>
    <x v="95"/>
    <n v="-1700"/>
    <x v="14"/>
    <n v="62160.66"/>
    <m/>
  </r>
  <r>
    <s v="Chase0117"/>
    <x v="1"/>
    <s v="DEBIT"/>
    <d v="2024-11-01T00:00:00"/>
    <x v="96"/>
    <n v="-1000"/>
    <x v="0"/>
    <n v="63860.66"/>
    <m/>
  </r>
  <r>
    <s v="Chase0117"/>
    <x v="1"/>
    <s v="DEBIT"/>
    <d v="2024-11-01T00:00:00"/>
    <x v="97"/>
    <n v="-20.98"/>
    <x v="4"/>
    <n v="64860.66"/>
    <m/>
  </r>
  <r>
    <s v="Chase0117"/>
    <x v="1"/>
    <s v="CREDIT"/>
    <d v="2024-11-01T00:00:00"/>
    <x v="98"/>
    <n v="1700"/>
    <x v="11"/>
    <n v="64881.64"/>
    <m/>
  </r>
  <r>
    <s v="Chase0117"/>
    <x v="1"/>
    <s v="DSLIP"/>
    <d v="2024-11-01T00:00:00"/>
    <x v="37"/>
    <n v="2647"/>
    <x v="8"/>
    <n v="63181.64"/>
    <n v="1"/>
  </r>
  <r>
    <s v="Chase0117"/>
    <x v="1"/>
    <s v="DEBIT"/>
    <d v="2024-10-31T00:00:00"/>
    <x v="99"/>
    <n v="-1700"/>
    <x v="14"/>
    <n v="60534.64"/>
    <m/>
  </r>
  <r>
    <s v="Chase0117"/>
    <x v="1"/>
    <s v="DEBIT"/>
    <d v="2024-10-31T00:00:00"/>
    <x v="100"/>
    <n v="-1200"/>
    <x v="10"/>
    <n v="62234.64"/>
    <m/>
  </r>
  <r>
    <s v="Chase0117"/>
    <x v="1"/>
    <s v="DSLIP"/>
    <d v="2024-10-31T00:00:00"/>
    <x v="101"/>
    <n v="44951.26"/>
    <x v="15"/>
    <n v="63434.64"/>
    <m/>
  </r>
  <r>
    <s v="Chase0117"/>
    <x v="1"/>
    <s v="DEBIT"/>
    <d v="2024-10-30T00:00:00"/>
    <x v="102"/>
    <n v="-20.25"/>
    <x v="2"/>
    <n v="18483.38"/>
    <m/>
  </r>
  <r>
    <s v="Chase0117"/>
    <x v="1"/>
    <s v="DEBIT"/>
    <d v="2024-10-30T00:00:00"/>
    <x v="103"/>
    <n v="-621.16"/>
    <x v="2"/>
    <n v="18503.63"/>
    <m/>
  </r>
  <r>
    <s v="Chase0117"/>
    <x v="1"/>
    <s v="DEBIT"/>
    <d v="2024-10-29T00:00:00"/>
    <x v="104"/>
    <n v="-1361.43"/>
    <x v="0"/>
    <n v="19124.79"/>
    <m/>
  </r>
  <r>
    <s v="Chase0117"/>
    <x v="1"/>
    <s v="DEBIT"/>
    <d v="2024-10-28T00:00:00"/>
    <x v="105"/>
    <n v="-500"/>
    <x v="2"/>
    <n v="20486.22"/>
    <m/>
  </r>
  <r>
    <s v="Chase0117"/>
    <x v="1"/>
    <s v="CHECK"/>
    <d v="2024-10-25T00:00:00"/>
    <x v="106"/>
    <n v="-140"/>
    <x v="3"/>
    <n v="20986.22"/>
    <n v="998"/>
  </r>
  <r>
    <s v="Chase0117"/>
    <x v="1"/>
    <s v="CHECK"/>
    <d v="2024-10-25T00:00:00"/>
    <x v="107"/>
    <n v="-140"/>
    <x v="3"/>
    <n v="21126.22"/>
    <n v="707"/>
  </r>
  <r>
    <s v="Chase0117"/>
    <x v="1"/>
    <s v="CHECK"/>
    <d v="2024-10-25T00:00:00"/>
    <x v="108"/>
    <n v="-140"/>
    <x v="3"/>
    <n v="21266.22"/>
    <n v="997"/>
  </r>
  <r>
    <s v="Chase0117"/>
    <x v="1"/>
    <s v="CHECK"/>
    <d v="2024-10-25T00:00:00"/>
    <x v="109"/>
    <n v="-140"/>
    <x v="3"/>
    <n v="21406.22"/>
    <n v="705"/>
  </r>
  <r>
    <s v="Chase0117"/>
    <x v="1"/>
    <s v="DEBIT"/>
    <d v="2024-10-25T00:00:00"/>
    <x v="110"/>
    <n v="-1600"/>
    <x v="5"/>
    <n v="21546.22"/>
    <m/>
  </r>
  <r>
    <s v="Chase0117"/>
    <x v="1"/>
    <s v="DEBIT"/>
    <d v="2024-10-25T00:00:00"/>
    <x v="111"/>
    <n v="-20.25"/>
    <x v="2"/>
    <n v="23146.22"/>
    <m/>
  </r>
  <r>
    <s v="Chase0117"/>
    <x v="1"/>
    <s v="DEBIT"/>
    <d v="2024-10-25T00:00:00"/>
    <x v="112"/>
    <n v="-381.04"/>
    <x v="2"/>
    <n v="23166.47"/>
    <m/>
  </r>
  <r>
    <s v="Chase0117"/>
    <x v="1"/>
    <s v="DSLIP"/>
    <d v="2024-10-23T00:00:00"/>
    <x v="37"/>
    <n v="2277"/>
    <x v="8"/>
    <n v="23547.51"/>
    <n v="1"/>
  </r>
  <r>
    <s v="Chase0117"/>
    <x v="1"/>
    <s v="DEBIT"/>
    <d v="2024-10-22T00:00:00"/>
    <x v="113"/>
    <n v="-2000"/>
    <x v="10"/>
    <n v="21270.51"/>
    <m/>
  </r>
  <r>
    <s v="Chase0117"/>
    <x v="1"/>
    <s v="DEBIT"/>
    <d v="2024-10-22T00:00:00"/>
    <x v="114"/>
    <n v="-622.89"/>
    <x v="4"/>
    <n v="23270.51"/>
    <m/>
  </r>
  <r>
    <s v="Chase0117"/>
    <x v="1"/>
    <s v="DEBIT"/>
    <d v="2024-10-22T00:00:00"/>
    <x v="115"/>
    <n v="-654.41"/>
    <x v="4"/>
    <n v="23893.4"/>
    <m/>
  </r>
  <r>
    <s v="Chase0117"/>
    <x v="1"/>
    <s v="DEBIT"/>
    <d v="2024-10-22T00:00:00"/>
    <x v="116"/>
    <n v="-224.27"/>
    <x v="4"/>
    <n v="24547.81"/>
    <m/>
  </r>
  <r>
    <s v="Chase0117"/>
    <x v="1"/>
    <s v="DEBIT"/>
    <d v="2024-10-21T00:00:00"/>
    <x v="117"/>
    <n v="-500"/>
    <x v="2"/>
    <n v="24772.080000000002"/>
    <m/>
  </r>
  <r>
    <s v="Chase0117"/>
    <x v="1"/>
    <s v="CHECK"/>
    <d v="2024-10-21T00:00:00"/>
    <x v="118"/>
    <n v="-4088.59"/>
    <x v="3"/>
    <n v="25272.080000000002"/>
    <n v="704"/>
  </r>
  <r>
    <s v="Chase0117"/>
    <x v="1"/>
    <s v="DEBIT"/>
    <d v="2024-10-21T00:00:00"/>
    <x v="119"/>
    <n v="-1361.43"/>
    <x v="0"/>
    <n v="29360.67"/>
    <m/>
  </r>
  <r>
    <s v="Chase0117"/>
    <x v="1"/>
    <s v="DEBIT"/>
    <d v="2024-10-21T00:00:00"/>
    <x v="120"/>
    <n v="-600"/>
    <x v="14"/>
    <n v="30722.1"/>
    <m/>
  </r>
  <r>
    <s v="Chase0117"/>
    <x v="1"/>
    <s v="DEBIT"/>
    <d v="2024-10-21T00:00:00"/>
    <x v="121"/>
    <n v="-1200"/>
    <x v="0"/>
    <n v="31322.1"/>
    <m/>
  </r>
  <r>
    <s v="Chase0117"/>
    <x v="1"/>
    <s v="DEBIT"/>
    <d v="2024-10-21T00:00:00"/>
    <x v="122"/>
    <n v="-1831.87"/>
    <x v="12"/>
    <n v="32522.1"/>
    <m/>
  </r>
  <r>
    <s v="Chase0117"/>
    <x v="1"/>
    <s v="DEBIT"/>
    <d v="2024-10-21T00:00:00"/>
    <x v="123"/>
    <n v="-350"/>
    <x v="14"/>
    <n v="34353.97"/>
    <m/>
  </r>
  <r>
    <s v="Chase0117"/>
    <x v="1"/>
    <s v="DEBIT"/>
    <d v="2024-10-21T00:00:00"/>
    <x v="124"/>
    <n v="-7.99"/>
    <x v="4"/>
    <n v="34703.97"/>
    <m/>
  </r>
  <r>
    <s v="Chase0117"/>
    <x v="1"/>
    <s v="DSLIP"/>
    <d v="2024-10-21T00:00:00"/>
    <x v="37"/>
    <n v="4838"/>
    <x v="8"/>
    <n v="34711.96"/>
    <n v="1"/>
  </r>
  <r>
    <s v="Chase0117"/>
    <x v="1"/>
    <s v="DEBIT"/>
    <d v="2024-10-18T00:00:00"/>
    <x v="125"/>
    <n v="-2000"/>
    <x v="10"/>
    <n v="29873.96"/>
    <m/>
  </r>
  <r>
    <s v="Chase0117"/>
    <x v="1"/>
    <s v="DEBIT"/>
    <d v="2024-10-17T00:00:00"/>
    <x v="126"/>
    <n v="-70.25"/>
    <x v="2"/>
    <n v="31873.96"/>
    <m/>
  </r>
  <r>
    <s v="Chase0117"/>
    <x v="1"/>
    <s v="DEBIT"/>
    <d v="2024-10-17T00:00:00"/>
    <x v="127"/>
    <n v="-621.16"/>
    <x v="2"/>
    <n v="31944.21"/>
    <m/>
  </r>
  <r>
    <s v="Chase0117"/>
    <x v="1"/>
    <s v="DEBIT"/>
    <d v="2024-10-17T00:00:00"/>
    <x v="128"/>
    <n v="-1360.93"/>
    <x v="4"/>
    <n v="32565.37"/>
    <m/>
  </r>
  <r>
    <s v="Chase0117"/>
    <x v="1"/>
    <s v="DEBIT"/>
    <d v="2024-10-16T00:00:00"/>
    <x v="129"/>
    <n v="-5000"/>
    <x v="2"/>
    <n v="33926.300000000003"/>
    <m/>
  </r>
  <r>
    <s v="Chase0117"/>
    <x v="1"/>
    <s v="CREDIT"/>
    <d v="2024-10-16T00:00:00"/>
    <x v="130"/>
    <n v="4087.5"/>
    <x v="16"/>
    <n v="38926.300000000003"/>
    <m/>
  </r>
  <r>
    <s v="Chase0117"/>
    <x v="1"/>
    <s v="DEBIT"/>
    <d v="2024-10-15T00:00:00"/>
    <x v="131"/>
    <n v="-50"/>
    <x v="2"/>
    <n v="34838.800000000003"/>
    <m/>
  </r>
  <r>
    <s v="Chase0117"/>
    <x v="1"/>
    <s v="DEBIT"/>
    <d v="2024-10-15T00:00:00"/>
    <x v="132"/>
    <n v="-400"/>
    <x v="5"/>
    <n v="34888.800000000003"/>
    <m/>
  </r>
  <r>
    <s v="Chase0117"/>
    <x v="1"/>
    <s v="DEBIT"/>
    <d v="2024-10-15T00:00:00"/>
    <x v="133"/>
    <n v="-500"/>
    <x v="2"/>
    <n v="35288.800000000003"/>
    <m/>
  </r>
  <r>
    <s v="Chase0117"/>
    <x v="1"/>
    <s v="DEBIT"/>
    <d v="2024-10-15T00:00:00"/>
    <x v="134"/>
    <n v="-1000"/>
    <x v="5"/>
    <n v="35788.800000000003"/>
    <m/>
  </r>
  <r>
    <s v="Chase0117"/>
    <x v="1"/>
    <s v="DEBIT"/>
    <d v="2024-10-15T00:00:00"/>
    <x v="135"/>
    <n v="-450"/>
    <x v="14"/>
    <n v="36788.800000000003"/>
    <m/>
  </r>
  <r>
    <s v="Chase0117"/>
    <x v="1"/>
    <s v="DEBIT"/>
    <d v="2024-10-15T00:00:00"/>
    <x v="136"/>
    <n v="-525"/>
    <x v="14"/>
    <n v="37238.800000000003"/>
    <m/>
  </r>
  <r>
    <s v="Chase0117"/>
    <x v="1"/>
    <s v="CREDIT"/>
    <d v="2024-10-15T00:00:00"/>
    <x v="137"/>
    <n v="950"/>
    <x v="16"/>
    <n v="37763.800000000003"/>
    <m/>
  </r>
  <r>
    <s v="Chase0117"/>
    <x v="1"/>
    <s v="CREDIT"/>
    <d v="2024-10-15T00:00:00"/>
    <x v="138"/>
    <n v="5000"/>
    <x v="16"/>
    <n v="36813.800000000003"/>
    <m/>
  </r>
  <r>
    <s v="Chase0117"/>
    <x v="1"/>
    <s v="CREDIT"/>
    <d v="2024-10-15T00:00:00"/>
    <x v="139"/>
    <n v="1592"/>
    <x v="13"/>
    <n v="31813.8"/>
    <m/>
  </r>
  <r>
    <s v="Chase0117"/>
    <x v="1"/>
    <s v="CREDIT"/>
    <d v="2024-10-15T00:00:00"/>
    <x v="139"/>
    <n v="20009.5"/>
    <x v="13"/>
    <n v="30221.8"/>
    <m/>
  </r>
  <r>
    <s v="Chase0117"/>
    <x v="1"/>
    <s v="DEBIT"/>
    <d v="2024-10-11T00:00:00"/>
    <x v="140"/>
    <n v="-1000"/>
    <x v="5"/>
    <n v="10212.299999999999"/>
    <m/>
  </r>
  <r>
    <s v="Chase0117"/>
    <x v="1"/>
    <s v="CHECK"/>
    <d v="2024-10-10T00:00:00"/>
    <x v="141"/>
    <n v="-1200"/>
    <x v="3"/>
    <n v="11212.3"/>
    <n v="703"/>
  </r>
  <r>
    <s v="Chase0117"/>
    <x v="1"/>
    <s v="DEBIT"/>
    <d v="2024-10-10T00:00:00"/>
    <x v="142"/>
    <n v="-1000"/>
    <x v="5"/>
    <n v="12412.3"/>
    <m/>
  </r>
  <r>
    <s v="Chase0117"/>
    <x v="1"/>
    <s v="CHECK"/>
    <d v="2024-10-10T00:00:00"/>
    <x v="143"/>
    <n v="-304.85000000000002"/>
    <x v="3"/>
    <n v="13412.3"/>
    <n v="993"/>
  </r>
  <r>
    <s v="Chase0117"/>
    <x v="1"/>
    <s v="DEBIT"/>
    <d v="2024-10-10T00:00:00"/>
    <x v="144"/>
    <n v="-5000"/>
    <x v="4"/>
    <n v="13717.15"/>
    <m/>
  </r>
  <r>
    <s v="Chase0117"/>
    <x v="1"/>
    <s v="CHECK"/>
    <d v="2024-10-09T00:00:00"/>
    <x v="145"/>
    <n v="-5300"/>
    <x v="3"/>
    <n v="18717.150000000001"/>
    <n v="999"/>
  </r>
  <r>
    <s v="Chase0117"/>
    <x v="1"/>
    <s v="DEBIT"/>
    <d v="2024-10-09T00:00:00"/>
    <x v="146"/>
    <n v="-2850"/>
    <x v="6"/>
    <n v="24017.15"/>
    <m/>
  </r>
  <r>
    <s v="Chase0117"/>
    <x v="1"/>
    <s v="DEBIT"/>
    <d v="2024-10-09T00:00:00"/>
    <x v="147"/>
    <n v="-2.99"/>
    <x v="4"/>
    <n v="26867.15"/>
    <m/>
  </r>
  <r>
    <s v="Chase0117"/>
    <x v="1"/>
    <s v="DEBIT"/>
    <d v="2024-10-07T00:00:00"/>
    <x v="148"/>
    <n v="-500"/>
    <x v="2"/>
    <n v="26870.14"/>
    <m/>
  </r>
  <r>
    <s v="Chase0117"/>
    <x v="1"/>
    <s v="DEBIT"/>
    <d v="2024-10-04T00:00:00"/>
    <x v="149"/>
    <n v="-1200"/>
    <x v="0"/>
    <n v="27370.14"/>
    <m/>
  </r>
  <r>
    <s v="Chase0117"/>
    <x v="1"/>
    <s v="DEBIT"/>
    <d v="2024-10-04T00:00:00"/>
    <x v="150"/>
    <n v="-750"/>
    <x v="6"/>
    <n v="28570.14"/>
    <m/>
  </r>
  <r>
    <s v="Chase0117"/>
    <x v="1"/>
    <s v="DEBIT"/>
    <d v="2024-10-04T00:00:00"/>
    <x v="151"/>
    <n v="-1000"/>
    <x v="5"/>
    <n v="29320.14"/>
    <m/>
  </r>
  <r>
    <s v="Chase0117"/>
    <x v="1"/>
    <s v="DEBIT"/>
    <d v="2024-10-03T00:00:00"/>
    <x v="152"/>
    <n v="-1000"/>
    <x v="6"/>
    <n v="30320.14"/>
    <m/>
  </r>
  <r>
    <s v="Chase0117"/>
    <x v="1"/>
    <s v="DEBIT"/>
    <d v="2024-10-03T00:00:00"/>
    <x v="153"/>
    <n v="-2000"/>
    <x v="4"/>
    <n v="31320.14"/>
    <m/>
  </r>
  <r>
    <s v="Chase0117"/>
    <x v="1"/>
    <s v="DEBIT"/>
    <d v="2024-10-02T00:00:00"/>
    <x v="154"/>
    <n v="-6280.4"/>
    <x v="12"/>
    <n v="33320.14"/>
    <m/>
  </r>
  <r>
    <s v="Chase0117"/>
    <x v="1"/>
    <s v="DEBIT"/>
    <d v="2024-10-01T00:00:00"/>
    <x v="155"/>
    <n v="-180"/>
    <x v="14"/>
    <n v="39600.54"/>
    <m/>
  </r>
  <r>
    <s v="Chase0117"/>
    <x v="1"/>
    <s v="DEBIT"/>
    <d v="2024-09-30T00:00:00"/>
    <x v="156"/>
    <n v="-15"/>
    <x v="7"/>
    <n v="39780.54"/>
    <m/>
  </r>
  <r>
    <s v="Chase0117"/>
    <x v="1"/>
    <s v="CHECK"/>
    <d v="2024-09-30T00:00:00"/>
    <x v="157"/>
    <n v="-140"/>
    <x v="3"/>
    <n v="39795.54"/>
    <n v="991"/>
  </r>
  <r>
    <s v="Chase0117"/>
    <x v="1"/>
    <s v="CHECK"/>
    <d v="2024-09-30T00:00:00"/>
    <x v="158"/>
    <n v="-140"/>
    <x v="3"/>
    <n v="39935.54"/>
    <n v="992"/>
  </r>
  <r>
    <s v="Chase0117"/>
    <x v="1"/>
    <s v="CHECK"/>
    <d v="2024-09-30T00:00:00"/>
    <x v="159"/>
    <n v="-140"/>
    <x v="3"/>
    <n v="40075.54"/>
    <n v="994"/>
  </r>
  <r>
    <s v="Chase0117"/>
    <x v="1"/>
    <s v="DEBIT"/>
    <d v="2024-09-30T00:00:00"/>
    <x v="160"/>
    <n v="-500"/>
    <x v="2"/>
    <n v="40215.54"/>
    <m/>
  </r>
  <r>
    <s v="Chase0117"/>
    <x v="1"/>
    <s v="DEBIT"/>
    <d v="2024-09-30T00:00:00"/>
    <x v="161"/>
    <n v="-1200"/>
    <x v="0"/>
    <n v="40715.54"/>
    <m/>
  </r>
  <r>
    <s v="Chase0117"/>
    <x v="1"/>
    <s v="DEBIT"/>
    <d v="2024-09-30T00:00:00"/>
    <x v="162"/>
    <n v="-44"/>
    <x v="14"/>
    <n v="41915.54"/>
    <m/>
  </r>
  <r>
    <s v="Chase0117"/>
    <x v="1"/>
    <s v="DEBIT"/>
    <d v="2024-09-30T00:00:00"/>
    <x v="163"/>
    <n v="-620.41"/>
    <x v="4"/>
    <n v="41959.54"/>
    <m/>
  </r>
  <r>
    <s v="Chase0117"/>
    <x v="1"/>
    <s v="CREDIT"/>
    <d v="2024-09-30T00:00:00"/>
    <x v="164"/>
    <n v="2937.5"/>
    <x v="16"/>
    <n v="42579.95"/>
    <m/>
  </r>
  <r>
    <s v="Chase0117"/>
    <x v="1"/>
    <s v="DEBIT"/>
    <d v="2024-09-27T00:00:00"/>
    <x v="165"/>
    <n v="-2500"/>
    <x v="2"/>
    <n v="39642.449999999997"/>
    <m/>
  </r>
  <r>
    <s v="Chase0117"/>
    <x v="1"/>
    <s v="DEBIT"/>
    <d v="2024-09-27T00:00:00"/>
    <x v="166"/>
    <n v="-2500"/>
    <x v="12"/>
    <n v="42142.45"/>
    <m/>
  </r>
  <r>
    <s v="Chase0117"/>
    <x v="1"/>
    <s v="DEBIT"/>
    <d v="2024-09-27T00:00:00"/>
    <x v="167"/>
    <n v="-7.99"/>
    <x v="4"/>
    <n v="44642.45"/>
    <m/>
  </r>
  <r>
    <s v="Chase0117"/>
    <x v="1"/>
    <s v="CREDIT"/>
    <d v="2024-09-27T00:00:00"/>
    <x v="168"/>
    <n v="2062.5"/>
    <x v="16"/>
    <n v="44650.44"/>
    <m/>
  </r>
  <r>
    <s v="Chase0117"/>
    <x v="1"/>
    <s v="CREDIT"/>
    <d v="2024-09-27T00:00:00"/>
    <x v="169"/>
    <n v="2937.5"/>
    <x v="16"/>
    <n v="42587.94"/>
    <m/>
  </r>
  <r>
    <s v="Chase0117"/>
    <x v="1"/>
    <s v="CHECK"/>
    <d v="2024-09-26T00:00:00"/>
    <x v="170"/>
    <n v="-1200"/>
    <x v="3"/>
    <n v="39650.44"/>
    <n v="996"/>
  </r>
  <r>
    <s v="Chase0117"/>
    <x v="1"/>
    <s v="CHECK"/>
    <d v="2024-09-26T00:00:00"/>
    <x v="171"/>
    <n v="-1200"/>
    <x v="3"/>
    <n v="40850.44"/>
    <n v="995"/>
  </r>
  <r>
    <s v="Chase0117"/>
    <x v="1"/>
    <s v="DSLIP"/>
    <d v="2024-09-25T00:00:00"/>
    <x v="37"/>
    <n v="4542"/>
    <x v="8"/>
    <n v="42050.44"/>
    <n v="1"/>
  </r>
  <r>
    <s v="Chase0117"/>
    <x v="1"/>
    <s v="DSLIP"/>
    <d v="2024-09-25T00:00:00"/>
    <x v="37"/>
    <n v="38656.269999999997"/>
    <x v="8"/>
    <n v="37508.44"/>
    <n v="1"/>
  </r>
  <r>
    <s v="Chase0117"/>
    <x v="1"/>
    <s v="DEBIT"/>
    <d v="2024-09-24T00:00:00"/>
    <x v="172"/>
    <n v="-34"/>
    <x v="7"/>
    <n v="-1147.83"/>
    <m/>
  </r>
  <r>
    <s v="Chase0117"/>
    <x v="1"/>
    <s v="DEBIT"/>
    <d v="2024-09-24T00:00:00"/>
    <x v="173"/>
    <n v="-654.41"/>
    <x v="2"/>
    <n v="-1113.83"/>
    <m/>
  </r>
  <r>
    <s v="Chase0117"/>
    <x v="1"/>
    <s v="DEBIT"/>
    <d v="2024-09-23T00:00:00"/>
    <x v="174"/>
    <n v="-500"/>
    <x v="2"/>
    <n v="-459.42"/>
    <m/>
  </r>
  <r>
    <s v="Chase0117"/>
    <x v="1"/>
    <s v="CHECK"/>
    <d v="2024-09-19T00:00:00"/>
    <x v="175"/>
    <n v="-2459.79"/>
    <x v="3"/>
    <n v="40.58"/>
    <n v="990"/>
  </r>
  <r>
    <s v="Chase0117"/>
    <x v="1"/>
    <s v="CREDIT"/>
    <d v="2024-09-19T00:00:00"/>
    <x v="176"/>
    <n v="680"/>
    <x v="0"/>
    <n v="2500.37"/>
    <m/>
  </r>
  <r>
    <s v="Chase0117"/>
    <x v="1"/>
    <s v="CHECK"/>
    <d v="2024-09-18T00:00:00"/>
    <x v="177"/>
    <n v="-4088.59"/>
    <x v="3"/>
    <n v="1820.37"/>
    <n v="989"/>
  </r>
  <r>
    <s v="Chase0117"/>
    <x v="1"/>
    <s v="DEBIT"/>
    <d v="2024-09-16T00:00:00"/>
    <x v="178"/>
    <n v="-500"/>
    <x v="2"/>
    <n v="5908.96"/>
    <m/>
  </r>
  <r>
    <s v="Chase0117"/>
    <x v="1"/>
    <s v="CHECK"/>
    <d v="2024-09-16T00:00:00"/>
    <x v="179"/>
    <n v="-6300"/>
    <x v="3"/>
    <n v="6408.96"/>
    <n v="986"/>
  </r>
  <r>
    <s v="Chase0117"/>
    <x v="1"/>
    <s v="CHECK"/>
    <d v="2024-09-16T00:00:00"/>
    <x v="180"/>
    <n v="-2870.73"/>
    <x v="3"/>
    <n v="12708.96"/>
    <n v="987"/>
  </r>
  <r>
    <s v="Chase0117"/>
    <x v="1"/>
    <s v="DEBIT"/>
    <d v="2024-09-16T00:00:00"/>
    <x v="181"/>
    <n v="-800"/>
    <x v="5"/>
    <n v="15579.69"/>
    <m/>
  </r>
  <r>
    <s v="Chase0117"/>
    <x v="1"/>
    <s v="DEBIT"/>
    <d v="2024-09-16T00:00:00"/>
    <x v="182"/>
    <n v="-1000"/>
    <x v="6"/>
    <n v="16379.69"/>
    <m/>
  </r>
  <r>
    <s v="Chase0117"/>
    <x v="1"/>
    <s v="DEBIT"/>
    <d v="2024-09-13T00:00:00"/>
    <x v="183"/>
    <n v="-400"/>
    <x v="5"/>
    <n v="17379.689999999999"/>
    <m/>
  </r>
  <r>
    <s v="Chase0117"/>
    <x v="1"/>
    <s v="DEBIT"/>
    <d v="2024-09-13T00:00:00"/>
    <x v="184"/>
    <n v="-1000"/>
    <x v="6"/>
    <n v="17779.689999999999"/>
    <m/>
  </r>
  <r>
    <s v="Chase0117"/>
    <x v="1"/>
    <s v="DEBIT"/>
    <d v="2024-09-12T00:00:00"/>
    <x v="185"/>
    <n v="-1000"/>
    <x v="6"/>
    <n v="18779.689999999999"/>
    <m/>
  </r>
  <r>
    <s v="Chase0117"/>
    <x v="1"/>
    <s v="DEBIT"/>
    <d v="2024-09-11T00:00:00"/>
    <x v="186"/>
    <n v="-1000"/>
    <x v="6"/>
    <n v="19779.689999999999"/>
    <m/>
  </r>
  <r>
    <s v="Chase0117"/>
    <x v="1"/>
    <s v="DEBIT"/>
    <d v="2024-09-11T00:00:00"/>
    <x v="187"/>
    <n v="-1000"/>
    <x v="5"/>
    <n v="20779.689999999999"/>
    <m/>
  </r>
  <r>
    <s v="Chase0117"/>
    <x v="1"/>
    <s v="DEBIT"/>
    <d v="2024-09-11T00:00:00"/>
    <x v="188"/>
    <n v="-950"/>
    <x v="2"/>
    <n v="21779.69"/>
    <m/>
  </r>
  <r>
    <s v="Chase0117"/>
    <x v="1"/>
    <s v="DEBIT"/>
    <d v="2024-09-10T00:00:00"/>
    <x v="189"/>
    <n v="-1875"/>
    <x v="2"/>
    <n v="22729.69"/>
    <m/>
  </r>
  <r>
    <s v="Chase0117"/>
    <x v="1"/>
    <s v="DEBIT"/>
    <d v="2024-09-09T00:00:00"/>
    <x v="190"/>
    <n v="-400"/>
    <x v="5"/>
    <n v="24604.69"/>
    <m/>
  </r>
  <r>
    <s v="Chase0117"/>
    <x v="1"/>
    <s v="CREDIT"/>
    <d v="2024-09-09T00:00:00"/>
    <x v="191"/>
    <n v="15560"/>
    <x v="13"/>
    <n v="25004.69"/>
    <m/>
  </r>
  <r>
    <s v="Chase0117"/>
    <x v="1"/>
    <s v="DEBIT"/>
    <d v="2024-09-05T00:00:00"/>
    <x v="192"/>
    <n v="-2500"/>
    <x v="6"/>
    <n v="9444.69"/>
    <m/>
  </r>
  <r>
    <s v="Chase0117"/>
    <x v="1"/>
    <s v="DEBIT"/>
    <d v="2024-09-04T00:00:00"/>
    <x v="193"/>
    <n v="-50"/>
    <x v="2"/>
    <n v="11944.69"/>
    <m/>
  </r>
  <r>
    <s v="Chase0117"/>
    <x v="1"/>
    <s v="DEBIT"/>
    <d v="2024-09-03T00:00:00"/>
    <x v="194"/>
    <n v="-500"/>
    <x v="2"/>
    <n v="11994.69"/>
    <m/>
  </r>
  <r>
    <s v="Chase0117"/>
    <x v="1"/>
    <s v="CHECK"/>
    <d v="2024-08-30T00:00:00"/>
    <x v="195"/>
    <n v="-140"/>
    <x v="3"/>
    <n v="12494.69"/>
    <n v="982"/>
  </r>
  <r>
    <s v="Chase0117"/>
    <x v="1"/>
    <s v="CHECK"/>
    <d v="2024-08-30T00:00:00"/>
    <x v="196"/>
    <n v="-140"/>
    <x v="3"/>
    <n v="12634.69"/>
    <n v="702"/>
  </r>
  <r>
    <s v="Chase0117"/>
    <x v="1"/>
    <s v="CHECK"/>
    <d v="2024-08-30T00:00:00"/>
    <x v="197"/>
    <n v="-140"/>
    <x v="3"/>
    <n v="12774.69"/>
    <n v="984"/>
  </r>
  <r>
    <s v="Chase0117"/>
    <x v="1"/>
    <s v="CHECK"/>
    <d v="2024-08-30T00:00:00"/>
    <x v="198"/>
    <n v="-140"/>
    <x v="3"/>
    <n v="12914.69"/>
    <n v="988"/>
  </r>
  <r>
    <s v="Chase0117"/>
    <x v="1"/>
    <s v="DEBIT"/>
    <d v="2024-08-28T00:00:00"/>
    <x v="199"/>
    <n v="-1000"/>
    <x v="0"/>
    <n v="13054.69"/>
    <m/>
  </r>
  <r>
    <s v="Chase0117"/>
    <x v="1"/>
    <s v="DEBIT"/>
    <d v="2024-08-28T00:00:00"/>
    <x v="200"/>
    <n v="-1000"/>
    <x v="5"/>
    <n v="14054.69"/>
    <m/>
  </r>
  <r>
    <s v="Chase0117"/>
    <x v="1"/>
    <s v="DEBIT"/>
    <d v="2024-08-28T00:00:00"/>
    <x v="201"/>
    <n v="-1500"/>
    <x v="0"/>
    <n v="15054.69"/>
    <m/>
  </r>
  <r>
    <s v="Chase0117"/>
    <x v="1"/>
    <s v="DEBIT"/>
    <d v="2024-08-26T00:00:00"/>
    <x v="202"/>
    <n v="-500"/>
    <x v="2"/>
    <n v="16554.689999999999"/>
    <m/>
  </r>
  <r>
    <s v="Chase0117"/>
    <x v="1"/>
    <s v="DEBIT"/>
    <d v="2024-08-26T00:00:00"/>
    <x v="203"/>
    <n v="-900"/>
    <x v="5"/>
    <n v="17054.689999999999"/>
    <m/>
  </r>
  <r>
    <s v="Chase0117"/>
    <x v="1"/>
    <s v="DEBIT"/>
    <d v="2024-08-26T00:00:00"/>
    <x v="204"/>
    <n v="-500"/>
    <x v="0"/>
    <n v="17954.689999999999"/>
    <m/>
  </r>
  <r>
    <s v="Chase0117"/>
    <x v="1"/>
    <s v="CREDIT"/>
    <d v="2024-08-26T00:00:00"/>
    <x v="205"/>
    <n v="2330"/>
    <x v="16"/>
    <n v="18454.689999999999"/>
    <m/>
  </r>
  <r>
    <s v="Chase0117"/>
    <x v="1"/>
    <s v="CREDIT"/>
    <d v="2024-08-26T00:00:00"/>
    <x v="206"/>
    <n v="2668"/>
    <x v="13"/>
    <n v="16124.69"/>
    <m/>
  </r>
  <r>
    <s v="Chase0117"/>
    <x v="1"/>
    <s v="DEBIT"/>
    <d v="2024-08-22T00:00:00"/>
    <x v="207"/>
    <n v="-400"/>
    <x v="5"/>
    <n v="13456.69"/>
    <m/>
  </r>
  <r>
    <s v="Chase0117"/>
    <x v="1"/>
    <s v="CHECK"/>
    <d v="2024-08-22T00:00:00"/>
    <x v="208"/>
    <n v="-4088.59"/>
    <x v="3"/>
    <n v="13856.69"/>
    <n v="983"/>
  </r>
  <r>
    <s v="Chase0117"/>
    <x v="1"/>
    <s v="DEBIT"/>
    <d v="2024-08-21T00:00:00"/>
    <x v="209"/>
    <n v="-50"/>
    <x v="2"/>
    <n v="17945.28"/>
    <m/>
  </r>
  <r>
    <s v="Chase0117"/>
    <x v="1"/>
    <s v="DEBIT"/>
    <d v="2024-08-21T00:00:00"/>
    <x v="210"/>
    <n v="-654.41"/>
    <x v="4"/>
    <n v="17995.28"/>
    <m/>
  </r>
  <r>
    <s v="Chase0117"/>
    <x v="1"/>
    <s v="CREDIT"/>
    <d v="2024-08-21T00:00:00"/>
    <x v="211"/>
    <n v="2870.73"/>
    <x v="16"/>
    <n v="18649.689999999999"/>
    <m/>
  </r>
  <r>
    <s v="Chase0117"/>
    <x v="1"/>
    <s v="DSLIP"/>
    <d v="2024-08-21T00:00:00"/>
    <x v="37"/>
    <n v="5097"/>
    <x v="8"/>
    <n v="15778.96"/>
    <n v="1"/>
  </r>
  <r>
    <s v="Chase0117"/>
    <x v="1"/>
    <s v="DEBIT"/>
    <d v="2024-08-19T00:00:00"/>
    <x v="212"/>
    <n v="-500"/>
    <x v="2"/>
    <n v="10681.96"/>
    <m/>
  </r>
  <r>
    <s v="Chase0117"/>
    <x v="1"/>
    <s v="DEBIT"/>
    <d v="2024-08-19T00:00:00"/>
    <x v="213"/>
    <n v="-1500"/>
    <x v="0"/>
    <n v="11181.96"/>
    <m/>
  </r>
  <r>
    <s v="Chase0117"/>
    <x v="1"/>
    <s v="CREDIT"/>
    <d v="2024-08-15T00:00:00"/>
    <x v="214"/>
    <n v="5000"/>
    <x v="16"/>
    <n v="12681.96"/>
    <m/>
  </r>
  <r>
    <s v="Chase0117"/>
    <x v="1"/>
    <s v="CREDIT"/>
    <d v="2024-08-14T00:00:00"/>
    <x v="215"/>
    <n v="5000"/>
    <x v="16"/>
    <n v="7681.96"/>
    <m/>
  </r>
  <r>
    <s v="Chase0117"/>
    <x v="1"/>
    <s v="DEBIT"/>
    <d v="2024-08-12T00:00:00"/>
    <x v="216"/>
    <n v="-400"/>
    <x v="5"/>
    <n v="2681.96"/>
    <m/>
  </r>
  <r>
    <s v="Chase0117"/>
    <x v="1"/>
    <s v="DEBIT"/>
    <d v="2024-08-12T00:00:00"/>
    <x v="217"/>
    <n v="-500"/>
    <x v="2"/>
    <n v="3081.96"/>
    <m/>
  </r>
  <r>
    <s v="Chase0117"/>
    <x v="1"/>
    <s v="DEBIT"/>
    <d v="2024-08-12T00:00:00"/>
    <x v="218"/>
    <n v="-50"/>
    <x v="2"/>
    <n v="3581.96"/>
    <m/>
  </r>
  <r>
    <s v="Chase0117"/>
    <x v="1"/>
    <s v="DEBIT"/>
    <d v="2024-08-05T00:00:00"/>
    <x v="219"/>
    <n v="-500"/>
    <x v="2"/>
    <n v="3631.96"/>
    <m/>
  </r>
  <r>
    <s v="Chase0117"/>
    <x v="1"/>
    <s v="DEBIT"/>
    <d v="2024-08-05T00:00:00"/>
    <x v="220"/>
    <n v="-400"/>
    <x v="5"/>
    <n v="4131.96"/>
    <m/>
  </r>
  <r>
    <s v="Chase0117"/>
    <x v="1"/>
    <s v="DEBIT"/>
    <d v="2024-08-05T00:00:00"/>
    <x v="221"/>
    <n v="-2000"/>
    <x v="0"/>
    <n v="4531.96"/>
    <m/>
  </r>
  <r>
    <s v="Chase0117"/>
    <x v="1"/>
    <s v="DSLIP"/>
    <d v="2024-08-05T00:00:00"/>
    <x v="37"/>
    <n v="2887"/>
    <x v="8"/>
    <n v="6531.96"/>
    <n v="1"/>
  </r>
  <r>
    <s v="Chase0117"/>
    <x v="1"/>
    <s v="DEBIT"/>
    <d v="2024-08-02T00:00:00"/>
    <x v="222"/>
    <n v="-625.37"/>
    <x v="4"/>
    <n v="3644.96"/>
    <m/>
  </r>
  <r>
    <s v="Chase0117"/>
    <x v="1"/>
    <s v="CHECK"/>
    <d v="2024-08-01T00:00:00"/>
    <x v="223"/>
    <n v="-140"/>
    <x v="3"/>
    <n v="4270.33"/>
    <n v="980"/>
  </r>
  <r>
    <s v="Chase0117"/>
    <x v="1"/>
    <s v="CHECK"/>
    <d v="2024-08-01T00:00:00"/>
    <x v="224"/>
    <n v="-140"/>
    <x v="3"/>
    <n v="4410.33"/>
    <n v="979"/>
  </r>
  <r>
    <s v="Chase0117"/>
    <x v="1"/>
    <s v="CHECK"/>
    <d v="2024-08-01T00:00:00"/>
    <x v="225"/>
    <n v="-140"/>
    <x v="3"/>
    <n v="4550.33"/>
    <n v="975"/>
  </r>
  <r>
    <s v="Chase0117"/>
    <x v="1"/>
    <s v="CHECK"/>
    <d v="2024-08-01T00:00:00"/>
    <x v="226"/>
    <n v="-140"/>
    <x v="3"/>
    <n v="4690.33"/>
    <n v="981"/>
  </r>
  <r>
    <s v="Chase0117"/>
    <x v="1"/>
    <s v="DEBIT"/>
    <d v="2024-07-31T00:00:00"/>
    <x v="227"/>
    <n v="-500"/>
    <x v="5"/>
    <n v="4830.33"/>
    <m/>
  </r>
  <r>
    <s v="Chase0117"/>
    <x v="1"/>
    <s v="DEBIT"/>
    <d v="2024-07-29T00:00:00"/>
    <x v="228"/>
    <n v="-50"/>
    <x v="2"/>
    <n v="5330.33"/>
    <m/>
  </r>
  <r>
    <s v="Chase0117"/>
    <x v="1"/>
    <s v="DEBIT"/>
    <d v="2024-07-29T00:00:00"/>
    <x v="229"/>
    <n v="-500"/>
    <x v="2"/>
    <n v="5380.33"/>
    <m/>
  </r>
  <r>
    <s v="Chase0117"/>
    <x v="1"/>
    <s v="DEBIT"/>
    <d v="2024-07-26T00:00:00"/>
    <x v="230"/>
    <n v="-1000"/>
    <x v="5"/>
    <n v="5880.33"/>
    <m/>
  </r>
  <r>
    <s v="Chase0117"/>
    <x v="1"/>
    <s v="CHECK"/>
    <d v="2024-07-24T00:00:00"/>
    <x v="231"/>
    <n v="-4088.59"/>
    <x v="3"/>
    <n v="6880.33"/>
    <n v="978"/>
  </r>
  <r>
    <s v="Chase0117"/>
    <x v="1"/>
    <s v="DEBIT"/>
    <d v="2024-07-23T00:00:00"/>
    <x v="232"/>
    <n v="-654.41"/>
    <x v="4"/>
    <n v="10968.92"/>
    <m/>
  </r>
  <r>
    <s v="Chase0117"/>
    <x v="1"/>
    <s v="DEBIT"/>
    <d v="2024-07-22T00:00:00"/>
    <x v="233"/>
    <n v="-500"/>
    <x v="2"/>
    <n v="11623.33"/>
    <m/>
  </r>
  <r>
    <s v="Chase0117"/>
    <x v="1"/>
    <s v="DEBIT"/>
    <d v="2024-07-22T00:00:00"/>
    <x v="234"/>
    <n v="-50"/>
    <x v="2"/>
    <n v="12123.33"/>
    <m/>
  </r>
  <r>
    <s v="Chase0117"/>
    <x v="1"/>
    <s v="CREDIT"/>
    <d v="2024-07-22T00:00:00"/>
    <x v="235"/>
    <n v="150"/>
    <x v="11"/>
    <n v="12173.33"/>
    <m/>
  </r>
  <r>
    <s v="Chase0117"/>
    <x v="1"/>
    <s v="DEBIT"/>
    <d v="2024-07-15T00:00:00"/>
    <x v="236"/>
    <n v="-500"/>
    <x v="2"/>
    <n v="12023.33"/>
    <m/>
  </r>
  <r>
    <s v="Chase0117"/>
    <x v="1"/>
    <s v="DSLIP"/>
    <d v="2024-07-11T00:00:00"/>
    <x v="37"/>
    <n v="2500"/>
    <x v="8"/>
    <n v="12523.33"/>
    <n v="1"/>
  </r>
  <r>
    <s v="Chase0117"/>
    <x v="1"/>
    <s v="DSLIP"/>
    <d v="2024-07-11T00:00:00"/>
    <x v="37"/>
    <n v="5097"/>
    <x v="8"/>
    <n v="10023.33"/>
    <n v="1"/>
  </r>
  <r>
    <s v="Chase0117"/>
    <x v="1"/>
    <s v="CHECK"/>
    <d v="2024-07-08T00:00:00"/>
    <x v="237"/>
    <n v="-140"/>
    <x v="3"/>
    <n v="4926.33"/>
    <n v="972"/>
  </r>
  <r>
    <s v="Chase0117"/>
    <x v="1"/>
    <s v="CHECK"/>
    <d v="2024-07-08T00:00:00"/>
    <x v="238"/>
    <n v="-140"/>
    <x v="3"/>
    <n v="5066.33"/>
    <n v="969"/>
  </r>
  <r>
    <s v="Chase0117"/>
    <x v="1"/>
    <s v="CHECK"/>
    <d v="2024-07-08T00:00:00"/>
    <x v="239"/>
    <n v="-140"/>
    <x v="3"/>
    <n v="5206.33"/>
    <n v="974"/>
  </r>
  <r>
    <s v="Chase0117"/>
    <x v="1"/>
    <s v="CHECK"/>
    <d v="2024-07-08T00:00:00"/>
    <x v="240"/>
    <n v="-140"/>
    <x v="3"/>
    <n v="5346.33"/>
    <n v="970"/>
  </r>
  <r>
    <s v="Chase0117"/>
    <x v="1"/>
    <s v="DEBIT"/>
    <d v="2024-07-08T00:00:00"/>
    <x v="241"/>
    <n v="-500"/>
    <x v="2"/>
    <n v="5486.33"/>
    <m/>
  </r>
  <r>
    <s v="Chase0117"/>
    <x v="1"/>
    <s v="DEBIT"/>
    <d v="2024-07-05T00:00:00"/>
    <x v="242"/>
    <n v="-451"/>
    <x v="2"/>
    <n v="5986.33"/>
    <m/>
  </r>
  <r>
    <s v="Chase0117"/>
    <x v="1"/>
    <s v="CHECK"/>
    <d v="2024-07-05T00:00:00"/>
    <x v="243"/>
    <n v="-4408"/>
    <x v="3"/>
    <n v="6437.33"/>
    <n v="973"/>
  </r>
  <r>
    <s v="Chase0117"/>
    <x v="1"/>
    <s v="DEBIT"/>
    <d v="2024-07-03T00:00:00"/>
    <x v="244"/>
    <n v="-50"/>
    <x v="2"/>
    <n v="10845.33"/>
    <m/>
  </r>
  <r>
    <s v="Chase0117"/>
    <x v="1"/>
    <s v="CREDIT"/>
    <d v="2024-07-03T00:00:00"/>
    <x v="245"/>
    <n v="8833"/>
    <x v="13"/>
    <n v="10895.33"/>
    <m/>
  </r>
  <r>
    <s v="Chase0117"/>
    <x v="1"/>
    <s v="DEBIT"/>
    <d v="2024-07-01T00:00:00"/>
    <x v="246"/>
    <n v="-500"/>
    <x v="2"/>
    <n v="2062.33"/>
    <m/>
  </r>
  <r>
    <s v="Chase0117"/>
    <x v="1"/>
    <s v="DEBIT"/>
    <d v="2024-06-28T00:00:00"/>
    <x v="156"/>
    <n v="-15"/>
    <x v="7"/>
    <n v="2562.33"/>
    <m/>
  </r>
  <r>
    <s v="Chase0117"/>
    <x v="1"/>
    <s v="DEBIT"/>
    <d v="2024-06-24T00:00:00"/>
    <x v="247"/>
    <n v="-500"/>
    <x v="2"/>
    <n v="2577.33"/>
    <m/>
  </r>
  <r>
    <s v="Chase0117"/>
    <x v="1"/>
    <s v="CHECK"/>
    <d v="2024-06-24T00:00:00"/>
    <x v="248"/>
    <n v="-4088.59"/>
    <x v="3"/>
    <n v="3077.33"/>
    <n v="971"/>
  </r>
  <r>
    <s v="Chase0117"/>
    <x v="1"/>
    <s v="DEBIT"/>
    <d v="2024-06-21T00:00:00"/>
    <x v="249"/>
    <n v="-654.41"/>
    <x v="4"/>
    <n v="7165.92"/>
    <m/>
  </r>
  <r>
    <s v="Chase0117"/>
    <x v="1"/>
    <s v="CREDIT"/>
    <d v="2024-06-20T00:00:00"/>
    <x v="250"/>
    <n v="984"/>
    <x v="16"/>
    <n v="7820.33"/>
    <m/>
  </r>
  <r>
    <s v="Chase0117"/>
    <x v="1"/>
    <s v="CREDIT"/>
    <d v="2024-06-20T00:00:00"/>
    <x v="251"/>
    <n v="5000"/>
    <x v="16"/>
    <n v="6836.33"/>
    <m/>
  </r>
  <r>
    <s v="Chase0117"/>
    <x v="1"/>
    <s v="CREDIT"/>
    <d v="2024-06-18T00:00:00"/>
    <x v="252"/>
    <n v="1000"/>
    <x v="16"/>
    <n v="1836.33"/>
    <m/>
  </r>
  <r>
    <s v="Chase0117"/>
    <x v="1"/>
    <s v="CREDIT"/>
    <d v="2024-06-17T00:00:00"/>
    <x v="253"/>
    <n v="700"/>
    <x v="0"/>
    <n v="836.33"/>
    <m/>
  </r>
  <r>
    <s v="Chase0117"/>
    <x v="1"/>
    <s v="CHECK"/>
    <d v="2024-06-12T00:00:00"/>
    <x v="254"/>
    <n v="-3800"/>
    <x v="3"/>
    <n v="136.33000000000001"/>
    <n v="967"/>
  </r>
  <r>
    <s v="Chase0117"/>
    <x v="1"/>
    <s v="CREDIT"/>
    <d v="2024-06-12T00:00:00"/>
    <x v="255"/>
    <n v="1400"/>
    <x v="0"/>
    <n v="3936.33"/>
    <m/>
  </r>
  <r>
    <s v="Chase0117"/>
    <x v="1"/>
    <s v="DEBIT"/>
    <d v="2024-06-04T00:00:00"/>
    <x v="256"/>
    <n v="-50"/>
    <x v="2"/>
    <n v="2536.33"/>
    <m/>
  </r>
  <r>
    <s v="Chase0117"/>
    <x v="1"/>
    <s v="DEBIT"/>
    <d v="2024-05-30T00:00:00"/>
    <x v="257"/>
    <n v="-50"/>
    <x v="2"/>
    <n v="2586.33"/>
    <m/>
  </r>
  <r>
    <s v="Chase0117"/>
    <x v="1"/>
    <s v="CHECK"/>
    <d v="2024-05-29T00:00:00"/>
    <x v="258"/>
    <n v="-140"/>
    <x v="3"/>
    <n v="2636.33"/>
    <n v="968"/>
  </r>
  <r>
    <s v="Chase0117"/>
    <x v="1"/>
    <s v="DEBIT"/>
    <d v="2024-05-28T00:00:00"/>
    <x v="259"/>
    <n v="-200"/>
    <x v="2"/>
    <n v="2776.33"/>
    <m/>
  </r>
  <r>
    <s v="Chase0117"/>
    <x v="1"/>
    <s v="CREDIT"/>
    <d v="2024-05-24T00:00:00"/>
    <x v="260"/>
    <n v="500"/>
    <x v="0"/>
    <n v="2976.33"/>
    <m/>
  </r>
  <r>
    <s v="Chase0117"/>
    <x v="1"/>
    <s v="DEBIT"/>
    <d v="2024-05-23T00:00:00"/>
    <x v="261"/>
    <n v="-1500"/>
    <x v="2"/>
    <n v="2476.33"/>
    <m/>
  </r>
  <r>
    <s v="Chase0117"/>
    <x v="1"/>
    <s v="CHECK"/>
    <d v="2024-05-23T00:00:00"/>
    <x v="262"/>
    <n v="-140"/>
    <x v="3"/>
    <n v="3976.33"/>
    <n v="966"/>
  </r>
  <r>
    <s v="Chase0117"/>
    <x v="1"/>
    <s v="DEBIT"/>
    <d v="2024-05-21T00:00:00"/>
    <x v="263"/>
    <n v="-654.41"/>
    <x v="4"/>
    <n v="4116.33"/>
    <m/>
  </r>
  <r>
    <s v="Chase0117"/>
    <x v="1"/>
    <s v="CHECK"/>
    <d v="2024-05-16T00:00:00"/>
    <x v="264"/>
    <n v="-4088.59"/>
    <x v="3"/>
    <n v="4770.74"/>
    <n v="964"/>
  </r>
  <r>
    <s v="Chase0117"/>
    <x v="1"/>
    <s v="DEBIT"/>
    <d v="2024-05-15T00:00:00"/>
    <x v="265"/>
    <n v="-50"/>
    <x v="2"/>
    <n v="8859.33"/>
    <m/>
  </r>
  <r>
    <s v="Chase0117"/>
    <x v="1"/>
    <s v="CHECK"/>
    <d v="2024-05-15T00:00:00"/>
    <x v="266"/>
    <n v="-140"/>
    <x v="3"/>
    <n v="8909.33"/>
    <n v="965"/>
  </r>
  <r>
    <s v="Chase0117"/>
    <x v="1"/>
    <s v="CHECK"/>
    <d v="2024-05-15T00:00:00"/>
    <x v="267"/>
    <n v="-140"/>
    <x v="3"/>
    <n v="9049.33"/>
    <n v="963"/>
  </r>
  <r>
    <s v="Chase0117"/>
    <x v="1"/>
    <s v="CHECK"/>
    <d v="2024-05-15T00:00:00"/>
    <x v="268"/>
    <n v="-140"/>
    <x v="3"/>
    <n v="9189.33"/>
    <n v="962"/>
  </r>
  <r>
    <s v="Chase0117"/>
    <x v="1"/>
    <s v="DSLIP"/>
    <d v="2024-05-15T00:00:00"/>
    <x v="37"/>
    <n v="4372"/>
    <x v="8"/>
    <n v="9329.33"/>
    <n v="1"/>
  </r>
  <r>
    <s v="Chase0117"/>
    <x v="1"/>
    <s v="CHECK"/>
    <d v="2024-05-14T00:00:00"/>
    <x v="269"/>
    <n v="-2005"/>
    <x v="3"/>
    <n v="4957.33"/>
    <n v="954"/>
  </r>
  <r>
    <s v="Chase0117"/>
    <x v="1"/>
    <s v="CHECK"/>
    <d v="2024-05-14T00:00:00"/>
    <x v="270"/>
    <n v="-2200"/>
    <x v="3"/>
    <n v="6962.33"/>
    <n v="951"/>
  </r>
  <r>
    <s v="Chase0117"/>
    <x v="1"/>
    <s v="CHECK"/>
    <d v="2024-05-13T00:00:00"/>
    <x v="271"/>
    <n v="-4400"/>
    <x v="3"/>
    <n v="9162.33"/>
    <n v="957"/>
  </r>
  <r>
    <s v="Chase0117"/>
    <x v="1"/>
    <s v="DEBIT"/>
    <d v="2024-05-06T00:00:00"/>
    <x v="272"/>
    <n v="-406"/>
    <x v="2"/>
    <n v="13562.33"/>
    <m/>
  </r>
  <r>
    <s v="Chase0117"/>
    <x v="1"/>
    <s v="DEBIT"/>
    <d v="2024-05-06T00:00:00"/>
    <x v="273"/>
    <n v="-660"/>
    <x v="5"/>
    <n v="13968.33"/>
    <m/>
  </r>
  <r>
    <s v="Chase0117"/>
    <x v="1"/>
    <s v="CHECK"/>
    <d v="2024-05-02T00:00:00"/>
    <x v="274"/>
    <n v="-140"/>
    <x v="3"/>
    <n v="14628.33"/>
    <n v="961"/>
  </r>
  <r>
    <s v="Chase0117"/>
    <x v="1"/>
    <s v="DEBIT"/>
    <d v="2024-05-02T00:00:00"/>
    <x v="275"/>
    <n v="-50"/>
    <x v="2"/>
    <n v="14768.33"/>
    <m/>
  </r>
  <r>
    <s v="Chase0117"/>
    <x v="1"/>
    <s v="DSLIP"/>
    <d v="2024-04-29T00:00:00"/>
    <x v="37"/>
    <n v="10743"/>
    <x v="8"/>
    <n v="14818.33"/>
    <n v="1"/>
  </r>
  <r>
    <s v="Chase0117"/>
    <x v="1"/>
    <s v="CHECK"/>
    <d v="2024-04-23T00:00:00"/>
    <x v="276"/>
    <n v="-140"/>
    <x v="3"/>
    <n v="4075.33"/>
    <n v="960"/>
  </r>
  <r>
    <s v="Chase0117"/>
    <x v="1"/>
    <s v="CHECK"/>
    <d v="2024-04-23T00:00:00"/>
    <x v="277"/>
    <n v="-140"/>
    <x v="3"/>
    <n v="4215.33"/>
    <n v="959"/>
  </r>
  <r>
    <s v="Chase0117"/>
    <x v="1"/>
    <s v="DEBIT"/>
    <d v="2024-04-22T00:00:00"/>
    <x v="278"/>
    <n v="-1341.54"/>
    <x v="4"/>
    <n v="4355.33"/>
    <m/>
  </r>
  <r>
    <s v="Chase0117"/>
    <x v="1"/>
    <s v="CHECK"/>
    <d v="2024-04-19T00:00:00"/>
    <x v="279"/>
    <n v="-876.44"/>
    <x v="3"/>
    <n v="5696.87"/>
    <n v="787"/>
  </r>
  <r>
    <s v="Chase0117"/>
    <x v="1"/>
    <s v="CREDIT"/>
    <d v="2024-04-16T00:00:00"/>
    <x v="280"/>
    <n v="140"/>
    <x v="11"/>
    <n v="6573.31"/>
    <m/>
  </r>
  <r>
    <s v="Chase0117"/>
    <x v="1"/>
    <s v="CHECK"/>
    <d v="2024-04-15T00:00:00"/>
    <x v="281"/>
    <n v="-4088.59"/>
    <x v="3"/>
    <n v="6433.31"/>
    <n v="956"/>
  </r>
  <r>
    <s v="Chase0117"/>
    <x v="1"/>
    <s v="DEBIT"/>
    <d v="2024-04-15T00:00:00"/>
    <x v="282"/>
    <n v="-680"/>
    <x v="5"/>
    <n v="10521.9"/>
    <m/>
  </r>
  <r>
    <s v="Chase0117"/>
    <x v="1"/>
    <s v="CHECK"/>
    <d v="2024-04-11T00:00:00"/>
    <x v="283"/>
    <n v="-140"/>
    <x v="3"/>
    <n v="11201.9"/>
    <n v="955"/>
  </r>
  <r>
    <s v="Chase0117"/>
    <x v="1"/>
    <s v="CHECK"/>
    <d v="2024-04-11T00:00:00"/>
    <x v="284"/>
    <n v="-140"/>
    <x v="3"/>
    <n v="11341.9"/>
    <n v="952"/>
  </r>
  <r>
    <s v="Chase0117"/>
    <x v="1"/>
    <s v="CHECK"/>
    <d v="2024-04-11T00:00:00"/>
    <x v="285"/>
    <n v="-140"/>
    <x v="3"/>
    <n v="11481.9"/>
    <n v="953"/>
  </r>
  <r>
    <s v="Chase0117"/>
    <x v="1"/>
    <s v="DEBIT"/>
    <d v="2024-04-10T00:00:00"/>
    <x v="286"/>
    <n v="-400"/>
    <x v="5"/>
    <n v="11621.9"/>
    <m/>
  </r>
  <r>
    <s v="Chase0117"/>
    <x v="1"/>
    <s v="DEBIT"/>
    <d v="2024-04-09T00:00:00"/>
    <x v="287"/>
    <n v="-540"/>
    <x v="5"/>
    <n v="12021.9"/>
    <m/>
  </r>
  <r>
    <s v="Chase0117"/>
    <x v="1"/>
    <s v="DEBIT"/>
    <d v="2024-04-09T00:00:00"/>
    <x v="288"/>
    <n v="-1500"/>
    <x v="12"/>
    <n v="12561.9"/>
    <m/>
  </r>
  <r>
    <s v="Chase0117"/>
    <x v="1"/>
    <s v="DEBIT"/>
    <d v="2024-04-08T00:00:00"/>
    <x v="289"/>
    <n v="-800"/>
    <x v="2"/>
    <n v="14061.9"/>
    <m/>
  </r>
  <r>
    <s v="Chase0117"/>
    <x v="1"/>
    <s v="CREDIT"/>
    <d v="2024-04-08T00:00:00"/>
    <x v="290"/>
    <n v="5000"/>
    <x v="11"/>
    <n v="14861.9"/>
    <m/>
  </r>
  <r>
    <s v="Chase0117"/>
    <x v="1"/>
    <s v="CREDIT"/>
    <d v="2024-04-04T00:00:00"/>
    <x v="291"/>
    <n v="34"/>
    <x v="17"/>
    <n v="9861.9"/>
    <m/>
  </r>
  <r>
    <s v="Chase0117"/>
    <x v="1"/>
    <s v="DEBIT"/>
    <d v="2024-04-01T00:00:00"/>
    <x v="292"/>
    <n v="-400"/>
    <x v="5"/>
    <n v="9827.9"/>
    <m/>
  </r>
  <r>
    <s v="Chase0117"/>
    <x v="1"/>
    <s v="DEBIT"/>
    <d v="2024-03-29T00:00:00"/>
    <x v="156"/>
    <n v="-15"/>
    <x v="7"/>
    <n v="10227.9"/>
    <m/>
  </r>
  <r>
    <s v="Chase0117"/>
    <x v="1"/>
    <s v="DEBIT"/>
    <d v="2024-03-29T00:00:00"/>
    <x v="293"/>
    <n v="-600"/>
    <x v="0"/>
    <n v="10242.9"/>
    <m/>
  </r>
  <r>
    <s v="Chase0117"/>
    <x v="1"/>
    <s v="DEBIT"/>
    <d v="2024-03-29T00:00:00"/>
    <x v="294"/>
    <n v="-1500"/>
    <x v="6"/>
    <n v="10842.9"/>
    <m/>
  </r>
  <r>
    <s v="Chase0117"/>
    <x v="1"/>
    <s v="DSLIP"/>
    <d v="2024-03-29T00:00:00"/>
    <x v="37"/>
    <n v="8800"/>
    <x v="8"/>
    <n v="12342.9"/>
    <n v="1"/>
  </r>
  <r>
    <s v="Chase0117"/>
    <x v="1"/>
    <s v="DEBIT"/>
    <d v="2024-03-28T00:00:00"/>
    <x v="295"/>
    <n v="-200"/>
    <x v="5"/>
    <n v="3542.9"/>
    <m/>
  </r>
  <r>
    <s v="Chase0117"/>
    <x v="1"/>
    <s v="CREDIT"/>
    <d v="2024-03-27T00:00:00"/>
    <x v="296"/>
    <n v="140"/>
    <x v="11"/>
    <n v="3742.9"/>
    <m/>
  </r>
  <r>
    <s v="Chase0117"/>
    <x v="1"/>
    <s v="CHECK"/>
    <d v="2024-03-26T00:00:00"/>
    <x v="297"/>
    <n v="-140"/>
    <x v="3"/>
    <n v="3602.9"/>
    <n v="800"/>
  </r>
  <r>
    <s v="Chase0117"/>
    <x v="1"/>
    <s v="DSLIP"/>
    <d v="2024-03-25T00:00:00"/>
    <x v="37"/>
    <n v="4372"/>
    <x v="8"/>
    <n v="3742.9"/>
    <n v="1"/>
  </r>
  <r>
    <s v="Chase0117"/>
    <x v="1"/>
    <s v="DSLIP"/>
    <d v="2024-03-21T00:00:00"/>
    <x v="37"/>
    <n v="634.75"/>
    <x v="8"/>
    <n v="-629.1"/>
    <n v="1"/>
  </r>
  <r>
    <s v="Chase0117"/>
    <x v="1"/>
    <s v="DEBIT"/>
    <d v="2024-03-20T00:00:00"/>
    <x v="298"/>
    <n v="-34"/>
    <x v="7"/>
    <n v="-1263.8499999999999"/>
    <m/>
  </r>
  <r>
    <s v="Chase0117"/>
    <x v="1"/>
    <s v="DEBIT"/>
    <d v="2024-03-20T00:00:00"/>
    <x v="299"/>
    <n v="-34"/>
    <x v="7"/>
    <n v="-1229.8499999999999"/>
    <m/>
  </r>
  <r>
    <s v="Chase0117"/>
    <x v="1"/>
    <s v="DEBIT"/>
    <d v="2024-03-19T00:00:00"/>
    <x v="300"/>
    <n v="-25"/>
    <x v="2"/>
    <n v="-1195.8499999999999"/>
    <m/>
  </r>
  <r>
    <s v="Chase0117"/>
    <x v="1"/>
    <s v="DEBIT"/>
    <d v="2024-03-19T00:00:00"/>
    <x v="301"/>
    <n v="-25"/>
    <x v="2"/>
    <n v="-1170.8499999999999"/>
    <m/>
  </r>
  <r>
    <s v="Chase0117"/>
    <x v="1"/>
    <s v="DEBIT"/>
    <d v="2024-03-15T00:00:00"/>
    <x v="302"/>
    <n v="-34"/>
    <x v="7"/>
    <n v="-1145.8499999999999"/>
    <m/>
  </r>
  <r>
    <s v="Chase0117"/>
    <x v="1"/>
    <s v="DEBIT"/>
    <d v="2024-03-15T00:00:00"/>
    <x v="303"/>
    <n v="-34"/>
    <x v="7"/>
    <n v="-1111.8499999999999"/>
    <m/>
  </r>
  <r>
    <s v="Chase0117"/>
    <x v="1"/>
    <s v="CHECK"/>
    <d v="2024-03-14T00:00:00"/>
    <x v="304"/>
    <n v="-140"/>
    <x v="3"/>
    <n v="-1077.8499999999999"/>
    <n v="797"/>
  </r>
  <r>
    <s v="Chase0117"/>
    <x v="1"/>
    <s v="CHECK"/>
    <d v="2024-03-14T00:00:00"/>
    <x v="305"/>
    <n v="-140"/>
    <x v="3"/>
    <n v="-937.85"/>
    <n v="799"/>
  </r>
  <r>
    <s v="Chase0117"/>
    <x v="1"/>
    <s v="CREDIT"/>
    <d v="2024-03-07T00:00:00"/>
    <x v="306"/>
    <n v="30"/>
    <x v="17"/>
    <n v="-797.85"/>
    <m/>
  </r>
  <r>
    <s v="Chase0117"/>
    <x v="1"/>
    <s v="CREDIT"/>
    <d v="2024-03-07T00:00:00"/>
    <x v="306"/>
    <n v="34"/>
    <x v="17"/>
    <n v="-827.85"/>
    <m/>
  </r>
  <r>
    <s v="Chase0117"/>
    <x v="1"/>
    <s v="CREDIT"/>
    <d v="2024-03-07T00:00:00"/>
    <x v="306"/>
    <n v="34"/>
    <x v="17"/>
    <n v="-861.85"/>
    <m/>
  </r>
  <r>
    <s v="Chase0117"/>
    <x v="1"/>
    <s v="CREDIT"/>
    <d v="2024-03-07T00:00:00"/>
    <x v="306"/>
    <n v="34"/>
    <x v="17"/>
    <n v="-895.85"/>
    <m/>
  </r>
  <r>
    <s v="Chase0117"/>
    <x v="1"/>
    <s v="DEBIT"/>
    <d v="2024-03-06T00:00:00"/>
    <x v="307"/>
    <n v="-34"/>
    <x v="7"/>
    <n v="-929.85"/>
    <m/>
  </r>
  <r>
    <s v="Chase0117"/>
    <x v="1"/>
    <s v="DEBIT"/>
    <d v="2024-03-05T00:00:00"/>
    <x v="308"/>
    <n v="-34"/>
    <x v="7"/>
    <n v="-895.85"/>
    <m/>
  </r>
  <r>
    <s v="Chase0117"/>
    <x v="1"/>
    <s v="DEBIT"/>
    <d v="2024-03-05T00:00:00"/>
    <x v="309"/>
    <n v="-30"/>
    <x v="7"/>
    <n v="-861.85"/>
    <m/>
  </r>
  <r>
    <s v="Chase0117"/>
    <x v="1"/>
    <s v="DEBIT"/>
    <d v="2024-03-05T00:00:00"/>
    <x v="310"/>
    <n v="-93"/>
    <x v="2"/>
    <n v="-831.85"/>
    <m/>
  </r>
  <r>
    <s v="Chase0117"/>
    <x v="1"/>
    <s v="CREDIT"/>
    <d v="2024-03-05T00:00:00"/>
    <x v="311"/>
    <n v="300"/>
    <x v="11"/>
    <n v="-738.85"/>
    <m/>
  </r>
  <r>
    <s v="Chase0117"/>
    <x v="1"/>
    <s v="DEBIT"/>
    <d v="2024-03-04T00:00:00"/>
    <x v="312"/>
    <n v="-50"/>
    <x v="2"/>
    <n v="-1038.8499999999999"/>
    <m/>
  </r>
  <r>
    <s v="Chase0117"/>
    <x v="1"/>
    <s v="CREDIT"/>
    <d v="2024-03-04T00:00:00"/>
    <x v="313"/>
    <n v="350"/>
    <x v="0"/>
    <n v="-988.85"/>
    <m/>
  </r>
  <r>
    <s v="Chase0117"/>
    <x v="1"/>
    <s v="DEBIT"/>
    <d v="2024-03-01T00:00:00"/>
    <x v="314"/>
    <n v="-34"/>
    <x v="7"/>
    <n v="-1338.85"/>
    <m/>
  </r>
  <r>
    <s v="Chase0117"/>
    <x v="1"/>
    <s v="CHECK"/>
    <d v="2024-02-29T00:00:00"/>
    <x v="315"/>
    <n v="-3965"/>
    <x v="3"/>
    <n v="-1304.8499999999999"/>
    <n v="788"/>
  </r>
  <r>
    <s v="Chase0117"/>
    <x v="1"/>
    <s v="CHECK"/>
    <d v="2024-02-28T00:00:00"/>
    <x v="316"/>
    <n v="-140"/>
    <x v="3"/>
    <n v="2660.15"/>
    <n v="796"/>
  </r>
  <r>
    <s v="Chase0117"/>
    <x v="1"/>
    <s v="CHECK"/>
    <d v="2024-02-28T00:00:00"/>
    <x v="317"/>
    <n v="-140"/>
    <x v="3"/>
    <n v="2800.15"/>
    <n v="795"/>
  </r>
  <r>
    <s v="Chase0117"/>
    <x v="1"/>
    <s v="DEBIT"/>
    <d v="2024-02-26T00:00:00"/>
    <x v="318"/>
    <n v="-2000"/>
    <x v="6"/>
    <n v="2940.15"/>
    <m/>
  </r>
  <r>
    <s v="Chase0117"/>
    <x v="1"/>
    <s v="CHECK"/>
    <d v="2024-02-26T00:00:00"/>
    <x v="319"/>
    <n v="-3400"/>
    <x v="3"/>
    <n v="4940.1499999999996"/>
    <n v="794"/>
  </r>
  <r>
    <s v="Chase0117"/>
    <x v="1"/>
    <s v="CREDIT"/>
    <d v="2024-02-26T00:00:00"/>
    <x v="320"/>
    <n v="1200"/>
    <x v="0"/>
    <n v="8340.15"/>
    <m/>
  </r>
  <r>
    <s v="Chase0117"/>
    <x v="1"/>
    <s v="DEBIT"/>
    <d v="2024-02-22T00:00:00"/>
    <x v="321"/>
    <n v="-50"/>
    <x v="2"/>
    <n v="7140.15"/>
    <m/>
  </r>
  <r>
    <s v="Chase0117"/>
    <x v="1"/>
    <s v="DEBIT"/>
    <d v="2024-02-22T00:00:00"/>
    <x v="322"/>
    <n v="-189"/>
    <x v="2"/>
    <n v="7190.15"/>
    <m/>
  </r>
  <r>
    <s v="Chase0117"/>
    <x v="1"/>
    <s v="DEBIT"/>
    <d v="2024-02-21T00:00:00"/>
    <x v="323"/>
    <n v="-240"/>
    <x v="5"/>
    <n v="7379.15"/>
    <m/>
  </r>
  <r>
    <s v="Chase0117"/>
    <x v="1"/>
    <s v="DEBIT"/>
    <d v="2024-02-21T00:00:00"/>
    <x v="324"/>
    <n v="-654.41"/>
    <x v="4"/>
    <n v="7619.15"/>
    <m/>
  </r>
  <r>
    <s v="Chase0117"/>
    <x v="1"/>
    <s v="CREDIT"/>
    <d v="2024-02-20T00:00:00"/>
    <x v="325"/>
    <n v="1456"/>
    <x v="11"/>
    <n v="8273.56"/>
    <m/>
  </r>
  <r>
    <s v="Chase0117"/>
    <x v="1"/>
    <s v="DEBIT"/>
    <d v="2024-02-15T00:00:00"/>
    <x v="326"/>
    <n v="-25"/>
    <x v="7"/>
    <n v="6817.56"/>
    <m/>
  </r>
  <r>
    <s v="Chase0117"/>
    <x v="1"/>
    <s v="DEBIT"/>
    <d v="2024-02-15T00:00:00"/>
    <x v="327"/>
    <n v="-160"/>
    <x v="5"/>
    <n v="6842.56"/>
    <m/>
  </r>
  <r>
    <s v="Chase0117"/>
    <x v="1"/>
    <s v="DEBIT"/>
    <d v="2024-02-15T00:00:00"/>
    <x v="328"/>
    <n v="-4088.59"/>
    <x v="18"/>
    <n v="7002.56"/>
    <m/>
  </r>
  <r>
    <s v="Chase0117"/>
    <x v="1"/>
    <s v="CREDIT"/>
    <d v="2024-02-15T00:00:00"/>
    <x v="329"/>
    <n v="2472.5"/>
    <x v="11"/>
    <n v="11091.15"/>
    <m/>
  </r>
  <r>
    <s v="Chase0117"/>
    <x v="1"/>
    <s v="DEBIT"/>
    <d v="2024-02-14T00:00:00"/>
    <x v="309"/>
    <n v="-30"/>
    <x v="7"/>
    <n v="8618.65"/>
    <m/>
  </r>
  <r>
    <s v="Chase0117"/>
    <x v="1"/>
    <s v="CHECK"/>
    <d v="2024-02-14T00:00:00"/>
    <x v="330"/>
    <n v="-80"/>
    <x v="3"/>
    <n v="8648.65"/>
    <n v="701"/>
  </r>
  <r>
    <s v="Chase0117"/>
    <x v="1"/>
    <s v="CHECK"/>
    <d v="2024-02-14T00:00:00"/>
    <x v="331"/>
    <n v="-140"/>
    <x v="3"/>
    <n v="8728.65"/>
    <n v="793"/>
  </r>
  <r>
    <s v="Chase0117"/>
    <x v="1"/>
    <s v="DEBIT"/>
    <d v="2024-02-13T00:00:00"/>
    <x v="332"/>
    <n v="-97.99"/>
    <x v="2"/>
    <n v="8868.65"/>
    <m/>
  </r>
  <r>
    <s v="Chase0117"/>
    <x v="1"/>
    <s v="CREDIT"/>
    <d v="2024-02-09T00:00:00"/>
    <x v="333"/>
    <n v="3500"/>
    <x v="11"/>
    <n v="8966.64"/>
    <m/>
  </r>
  <r>
    <s v="Chase0117"/>
    <x v="1"/>
    <s v="DEBIT"/>
    <d v="2024-02-07T00:00:00"/>
    <x v="334"/>
    <n v="-8.98"/>
    <x v="4"/>
    <n v="5466.64"/>
    <m/>
  </r>
  <r>
    <s v="Chase0117"/>
    <x v="1"/>
    <s v="DEBIT"/>
    <d v="2024-02-05T00:00:00"/>
    <x v="335"/>
    <n v="-8.98"/>
    <x v="4"/>
    <n v="5475.62"/>
    <m/>
  </r>
  <r>
    <s v="Chase0117"/>
    <x v="1"/>
    <s v="DEBIT"/>
    <d v="2024-02-01T00:00:00"/>
    <x v="336"/>
    <n v="-351"/>
    <x v="14"/>
    <n v="5484.6"/>
    <m/>
  </r>
  <r>
    <s v="Chase0117"/>
    <x v="1"/>
    <s v="CREDIT"/>
    <d v="2024-02-01T00:00:00"/>
    <x v="337"/>
    <n v="15"/>
    <x v="17"/>
    <n v="5835.6"/>
    <m/>
  </r>
  <r>
    <s v="Chase0117"/>
    <x v="1"/>
    <s v="DEBIT"/>
    <d v="2024-01-31T00:00:00"/>
    <x v="156"/>
    <n v="-15"/>
    <x v="7"/>
    <n v="5820.6"/>
    <m/>
  </r>
  <r>
    <s v="Chase0117"/>
    <x v="1"/>
    <s v="CREDIT"/>
    <d v="2024-01-30T00:00:00"/>
    <x v="338"/>
    <n v="200"/>
    <x v="11"/>
    <n v="5835.6"/>
    <m/>
  </r>
  <r>
    <s v="Chase0117"/>
    <x v="1"/>
    <s v="DEBIT"/>
    <d v="2024-01-29T00:00:00"/>
    <x v="339"/>
    <n v="-40.82"/>
    <x v="2"/>
    <n v="5635.6"/>
    <m/>
  </r>
  <r>
    <s v="Chase0117"/>
    <x v="1"/>
    <s v="DEBIT"/>
    <d v="2024-01-29T00:00:00"/>
    <x v="340"/>
    <n v="-80"/>
    <x v="2"/>
    <n v="5676.42"/>
    <m/>
  </r>
  <r>
    <s v="Chase0117"/>
    <x v="1"/>
    <s v="CREDIT"/>
    <d v="2024-01-29T00:00:00"/>
    <x v="341"/>
    <n v="1500"/>
    <x v="0"/>
    <n v="5756.42"/>
    <m/>
  </r>
  <r>
    <s v="Chase0117"/>
    <x v="1"/>
    <s v="CREDIT"/>
    <d v="2024-01-29T00:00:00"/>
    <x v="342"/>
    <n v="2472.5"/>
    <x v="11"/>
    <n v="4256.42"/>
    <m/>
  </r>
  <r>
    <s v="Chase0117"/>
    <x v="1"/>
    <s v="CHECK"/>
    <d v="2024-01-26T00:00:00"/>
    <x v="343"/>
    <n v="-140"/>
    <x v="3"/>
    <n v="1783.92"/>
    <n v="792"/>
  </r>
  <r>
    <s v="Chase0117"/>
    <x v="1"/>
    <s v="CHECK"/>
    <d v="2024-01-24T00:00:00"/>
    <x v="344"/>
    <n v="-11000"/>
    <x v="3"/>
    <n v="1923.92"/>
    <n v="776"/>
  </r>
  <r>
    <s v="Chase0117"/>
    <x v="1"/>
    <s v="DEBIT"/>
    <d v="2024-01-24T00:00:00"/>
    <x v="345"/>
    <n v="-5894.55"/>
    <x v="2"/>
    <n v="12923.92"/>
    <m/>
  </r>
  <r>
    <s v="Chase0117"/>
    <x v="1"/>
    <s v="DEBIT"/>
    <d v="2024-01-24T00:00:00"/>
    <x v="346"/>
    <n v="-654.41"/>
    <x v="4"/>
    <n v="18818.47"/>
    <m/>
  </r>
  <r>
    <s v="Chase0117"/>
    <x v="1"/>
    <s v="CREDIT"/>
    <d v="2024-01-23T00:00:00"/>
    <x v="306"/>
    <n v="34"/>
    <x v="17"/>
    <n v="19472.88"/>
    <m/>
  </r>
  <r>
    <s v="Chase0117"/>
    <x v="1"/>
    <s v="CREDIT"/>
    <d v="2024-01-23T00:00:00"/>
    <x v="306"/>
    <n v="34"/>
    <x v="17"/>
    <n v="19438.88"/>
    <m/>
  </r>
  <r>
    <s v="Chase0117"/>
    <x v="1"/>
    <s v="CREDIT"/>
    <d v="2024-01-23T00:00:00"/>
    <x v="306"/>
    <n v="34"/>
    <x v="17"/>
    <n v="19404.88"/>
    <m/>
  </r>
  <r>
    <s v="Chase0117"/>
    <x v="1"/>
    <s v="DEBIT"/>
    <d v="2024-01-22T00:00:00"/>
    <x v="347"/>
    <n v="-34"/>
    <x v="7"/>
    <n v="19370.88"/>
    <m/>
  </r>
  <r>
    <s v="Chase0117"/>
    <x v="1"/>
    <s v="DEBIT"/>
    <d v="2024-01-22T00:00:00"/>
    <x v="348"/>
    <n v="-34"/>
    <x v="7"/>
    <n v="19404.88"/>
    <m/>
  </r>
  <r>
    <s v="Chase0117"/>
    <x v="1"/>
    <s v="DEBIT"/>
    <d v="2024-01-19T00:00:00"/>
    <x v="349"/>
    <n v="-80"/>
    <x v="2"/>
    <n v="19438.88"/>
    <m/>
  </r>
  <r>
    <s v="Chase0117"/>
    <x v="1"/>
    <s v="CHECK"/>
    <d v="2024-01-19T00:00:00"/>
    <x v="350"/>
    <n v="-140"/>
    <x v="3"/>
    <n v="19518.88"/>
    <n v="791"/>
  </r>
  <r>
    <s v="Chase0117"/>
    <x v="1"/>
    <s v="DEBIT"/>
    <d v="2024-01-17T00:00:00"/>
    <x v="351"/>
    <n v="-34"/>
    <x v="7"/>
    <n v="19658.88"/>
    <m/>
  </r>
  <r>
    <s v="Chase0117"/>
    <x v="1"/>
    <s v="DEBIT"/>
    <d v="2024-01-17T00:00:00"/>
    <x v="352"/>
    <n v="-34"/>
    <x v="7"/>
    <n v="19692.88"/>
    <m/>
  </r>
  <r>
    <s v="Chase0117"/>
    <x v="1"/>
    <s v="DEBIT"/>
    <d v="2024-01-16T00:00:00"/>
    <x v="353"/>
    <n v="-97.99"/>
    <x v="2"/>
    <n v="19726.88"/>
    <m/>
  </r>
  <r>
    <s v="Chase0117"/>
    <x v="1"/>
    <s v="DEBIT"/>
    <d v="2024-01-16T00:00:00"/>
    <x v="354"/>
    <n v="-5369.32"/>
    <x v="2"/>
    <n v="19824.87"/>
    <m/>
  </r>
  <r>
    <s v="Chase0117"/>
    <x v="1"/>
    <s v="DSLIP"/>
    <d v="2024-01-16T00:00:00"/>
    <x v="37"/>
    <n v="680"/>
    <x v="8"/>
    <n v="25194.19"/>
    <n v="1"/>
  </r>
  <r>
    <s v="Chase0117"/>
    <x v="1"/>
    <s v="DSLIP"/>
    <d v="2024-01-16T00:00:00"/>
    <x v="37"/>
    <n v="3015"/>
    <x v="8"/>
    <n v="24514.19"/>
    <n v="1"/>
  </r>
  <r>
    <s v="Chase0117"/>
    <x v="1"/>
    <s v="DSLIP"/>
    <d v="2024-01-16T00:00:00"/>
    <x v="37"/>
    <n v="21094"/>
    <x v="8"/>
    <n v="21499.19"/>
    <n v="1"/>
  </r>
  <r>
    <s v="Chase0117"/>
    <x v="1"/>
    <s v="CHECK"/>
    <d v="2024-01-10T00:00:00"/>
    <x v="355"/>
    <n v="-140"/>
    <x v="3"/>
    <n v="405.19"/>
    <n v="789"/>
  </r>
  <r>
    <s v="Chase0117"/>
    <x v="1"/>
    <s v="CHECK"/>
    <d v="2024-01-10T00:00:00"/>
    <x v="356"/>
    <n v="-140"/>
    <x v="3"/>
    <n v="545.19000000000005"/>
    <n v="790"/>
  </r>
  <r>
    <s v="Chase0117"/>
    <x v="1"/>
    <s v="DEBIT"/>
    <d v="2024-01-10T00:00:00"/>
    <x v="357"/>
    <n v="-351"/>
    <x v="14"/>
    <n v="685.19"/>
    <m/>
  </r>
  <r>
    <s v="Chase0117"/>
    <x v="1"/>
    <s v="CREDIT"/>
    <d v="2024-01-10T00:00:00"/>
    <x v="358"/>
    <n v="180"/>
    <x v="0"/>
    <n v="1036.19"/>
    <m/>
  </r>
  <r>
    <s v="Chase0117"/>
    <x v="1"/>
    <s v="DEBIT"/>
    <d v="2024-01-09T00:00:00"/>
    <x v="359"/>
    <n v="-20"/>
    <x v="4"/>
    <n v="856.19"/>
    <m/>
  </r>
  <r>
    <s v="Chase0117"/>
    <x v="1"/>
    <s v="DEBIT"/>
    <d v="2024-01-08T00:00:00"/>
    <x v="360"/>
    <n v="-40"/>
    <x v="5"/>
    <n v="876.19"/>
    <m/>
  </r>
  <r>
    <s v="Chase0117"/>
    <x v="1"/>
    <s v="DEBIT"/>
    <d v="2024-01-05T00:00:00"/>
    <x v="361"/>
    <n v="-35"/>
    <x v="2"/>
    <n v="916.19"/>
    <m/>
  </r>
  <r>
    <s v="Chase0117"/>
    <x v="1"/>
    <s v="DEBIT"/>
    <d v="2024-01-03T00:00:00"/>
    <x v="362"/>
    <n v="-50"/>
    <x v="2"/>
    <n v="951.19"/>
    <m/>
  </r>
  <r>
    <s v="Chase0117"/>
    <x v="1"/>
    <s v="CREDIT"/>
    <d v="2024-01-02T00:00:00"/>
    <x v="363"/>
    <n v="140"/>
    <x v="11"/>
    <n v="1001.1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3909"/>
    <d v="2024-12-24T00:00:00"/>
    <d v="2024-12-25T00:00:00"/>
    <x v="0"/>
    <x v="0"/>
    <x v="0"/>
    <n v="-281.94"/>
    <x v="0"/>
  </r>
  <r>
    <n v="3909"/>
    <d v="2024-12-23T00:00:00"/>
    <d v="2024-12-23T00:00:00"/>
    <x v="1"/>
    <x v="1"/>
    <x v="1"/>
    <n v="35"/>
    <x v="0"/>
  </r>
  <r>
    <n v="3909"/>
    <d v="2024-11-24T00:00:00"/>
    <d v="2024-11-25T00:00:00"/>
    <x v="0"/>
    <x v="0"/>
    <x v="0"/>
    <n v="-281.94"/>
    <x v="0"/>
  </r>
  <r>
    <n v="3909"/>
    <d v="2024-11-22T00:00:00"/>
    <d v="2024-11-22T00:00:00"/>
    <x v="2"/>
    <x v="1"/>
    <x v="1"/>
    <n v="1807.05"/>
    <x v="0"/>
  </r>
  <r>
    <n v="3909"/>
    <d v="2024-11-02T00:00:00"/>
    <d v="2024-11-03T00:00:00"/>
    <x v="3"/>
    <x v="2"/>
    <x v="0"/>
    <n v="-1"/>
    <x v="0"/>
  </r>
  <r>
    <n v="3909"/>
    <d v="2024-10-29T00:00:00"/>
    <d v="2024-10-31T00:00:00"/>
    <x v="4"/>
    <x v="3"/>
    <x v="0"/>
    <n v="-21.2"/>
    <x v="0"/>
  </r>
  <r>
    <n v="3909"/>
    <d v="2024-10-27T00:00:00"/>
    <d v="2024-10-28T00:00:00"/>
    <x v="5"/>
    <x v="4"/>
    <x v="0"/>
    <n v="-1437.13"/>
    <x v="0"/>
  </r>
  <r>
    <n v="3909"/>
    <d v="2024-10-26T00:00:00"/>
    <d v="2024-10-27T00:00:00"/>
    <x v="6"/>
    <x v="3"/>
    <x v="0"/>
    <n v="-65.78"/>
    <x v="0"/>
  </r>
  <r>
    <n v="3909"/>
    <d v="2024-10-24T00:00:00"/>
    <d v="2024-10-25T00:00:00"/>
    <x v="0"/>
    <x v="0"/>
    <x v="0"/>
    <n v="-281.94"/>
    <x v="0"/>
  </r>
  <r>
    <n v="3909"/>
    <d v="2024-10-20T00:00:00"/>
    <d v="2024-10-20T00:00:00"/>
    <x v="2"/>
    <x v="1"/>
    <x v="1"/>
    <n v="1831.87"/>
    <x v="0"/>
  </r>
  <r>
    <n v="3909"/>
    <d v="2024-10-15T00:00:00"/>
    <d v="2024-10-16T00:00:00"/>
    <x v="7"/>
    <x v="3"/>
    <x v="0"/>
    <n v="-33.86"/>
    <x v="0"/>
  </r>
  <r>
    <n v="3909"/>
    <d v="2024-10-12T00:00:00"/>
    <d v="2024-10-14T00:00:00"/>
    <x v="8"/>
    <x v="3"/>
    <x v="0"/>
    <n v="-1798.01"/>
    <x v="0"/>
  </r>
  <r>
    <n v="3909"/>
    <d v="2024-10-02T00:00:00"/>
    <d v="2024-10-02T00:00:00"/>
    <x v="2"/>
    <x v="1"/>
    <x v="1"/>
    <n v="6280.4"/>
    <x v="0"/>
  </r>
  <r>
    <n v="3909"/>
    <d v="2024-10-01T00:00:00"/>
    <d v="2024-10-01T00:00:00"/>
    <x v="9"/>
    <x v="5"/>
    <x v="2"/>
    <n v="-162.87"/>
    <x v="0"/>
  </r>
  <r>
    <n v="3909"/>
    <d v="2024-09-27T00:00:00"/>
    <d v="2024-09-27T00:00:00"/>
    <x v="2"/>
    <x v="1"/>
    <x v="1"/>
    <n v="2500"/>
    <x v="0"/>
  </r>
  <r>
    <n v="3909"/>
    <d v="2024-09-24T00:00:00"/>
    <d v="2024-09-25T00:00:00"/>
    <x v="0"/>
    <x v="0"/>
    <x v="0"/>
    <n v="-281.94"/>
    <x v="0"/>
  </r>
  <r>
    <n v="3909"/>
    <d v="2024-09-23T00:00:00"/>
    <d v="2024-09-23T00:00:00"/>
    <x v="1"/>
    <x v="1"/>
    <x v="1"/>
    <n v="262"/>
    <x v="0"/>
  </r>
  <r>
    <n v="3909"/>
    <d v="2024-09-01T00:00:00"/>
    <d v="2024-09-01T00:00:00"/>
    <x v="9"/>
    <x v="5"/>
    <x v="2"/>
    <n v="-176.37"/>
    <x v="0"/>
  </r>
  <r>
    <n v="3909"/>
    <d v="2024-08-24T00:00:00"/>
    <d v="2024-08-25T00:00:00"/>
    <x v="0"/>
    <x v="0"/>
    <x v="0"/>
    <n v="-282.07"/>
    <x v="0"/>
  </r>
  <r>
    <n v="3909"/>
    <d v="2024-08-23T00:00:00"/>
    <d v="2024-08-23T00:00:00"/>
    <x v="1"/>
    <x v="1"/>
    <x v="1"/>
    <n v="255"/>
    <x v="0"/>
  </r>
  <r>
    <n v="3909"/>
    <d v="2024-08-01T00:00:00"/>
    <d v="2024-08-01T00:00:00"/>
    <x v="9"/>
    <x v="5"/>
    <x v="2"/>
    <n v="-172.03"/>
    <x v="0"/>
  </r>
  <r>
    <n v="3909"/>
    <d v="2024-07-24T00:00:00"/>
    <d v="2024-07-25T00:00:00"/>
    <x v="0"/>
    <x v="0"/>
    <x v="0"/>
    <n v="-276.95999999999998"/>
    <x v="0"/>
  </r>
  <r>
    <n v="3909"/>
    <d v="2024-07-23T00:00:00"/>
    <d v="2024-07-23T00:00:00"/>
    <x v="1"/>
    <x v="1"/>
    <x v="1"/>
    <n v="239"/>
    <x v="0"/>
  </r>
  <r>
    <n v="3909"/>
    <d v="2024-07-01T00:00:00"/>
    <d v="2024-07-01T00:00:00"/>
    <x v="9"/>
    <x v="5"/>
    <x v="2"/>
    <n v="-157.54"/>
    <x v="0"/>
  </r>
  <r>
    <n v="3909"/>
    <d v="2024-06-24T00:00:00"/>
    <d v="2024-06-25T00:00:00"/>
    <x v="0"/>
    <x v="0"/>
    <x v="0"/>
    <n v="-246.96"/>
    <x v="0"/>
  </r>
  <r>
    <n v="3909"/>
    <d v="2024-06-23T00:00:00"/>
    <d v="2024-06-23T00:00:00"/>
    <x v="1"/>
    <x v="1"/>
    <x v="1"/>
    <n v="250"/>
    <x v="0"/>
  </r>
  <r>
    <n v="3909"/>
    <d v="2024-06-02T00:00:00"/>
    <d v="2024-06-02T00:00:00"/>
    <x v="9"/>
    <x v="5"/>
    <x v="2"/>
    <n v="-170.22"/>
    <x v="0"/>
  </r>
  <r>
    <n v="3909"/>
    <d v="2024-05-24T00:00:00"/>
    <d v="2024-05-26T00:00:00"/>
    <x v="0"/>
    <x v="0"/>
    <x v="0"/>
    <n v="-246.96"/>
    <x v="0"/>
  </r>
  <r>
    <n v="3909"/>
    <d v="2024-05-23T00:00:00"/>
    <d v="2024-05-23T00:00:00"/>
    <x v="1"/>
    <x v="1"/>
    <x v="1"/>
    <n v="237"/>
    <x v="0"/>
  </r>
  <r>
    <n v="3909"/>
    <d v="2024-05-01T00:00:00"/>
    <d v="2024-05-01T00:00:00"/>
    <x v="9"/>
    <x v="5"/>
    <x v="2"/>
    <n v="-158.79"/>
    <x v="0"/>
  </r>
  <r>
    <n v="3909"/>
    <d v="2024-04-24T00:00:00"/>
    <d v="2024-04-25T00:00:00"/>
    <x v="0"/>
    <x v="0"/>
    <x v="0"/>
    <n v="-246.96"/>
    <x v="0"/>
  </r>
  <r>
    <n v="3909"/>
    <d v="2024-04-08T00:00:00"/>
    <d v="2024-04-09T00:00:00"/>
    <x v="2"/>
    <x v="1"/>
    <x v="1"/>
    <n v="1500"/>
    <x v="0"/>
  </r>
  <r>
    <n v="3909"/>
    <d v="2024-04-01T00:00:00"/>
    <d v="2024-04-01T00:00:00"/>
    <x v="9"/>
    <x v="5"/>
    <x v="2"/>
    <n v="-184.62"/>
    <x v="0"/>
  </r>
  <r>
    <n v="3909"/>
    <d v="2024-03-27T00:00:00"/>
    <d v="2024-03-27T00:00:00"/>
    <x v="10"/>
    <x v="1"/>
    <x v="1"/>
    <n v="286"/>
    <x v="0"/>
  </r>
  <r>
    <n v="3909"/>
    <d v="2024-03-22T00:00:00"/>
    <d v="2024-03-27T00:00:00"/>
    <x v="11"/>
    <x v="1"/>
    <x v="3"/>
    <n v="-286"/>
    <x v="0"/>
  </r>
  <r>
    <n v="3909"/>
    <d v="2024-03-24T00:00:00"/>
    <d v="2024-03-25T00:00:00"/>
    <x v="0"/>
    <x v="0"/>
    <x v="0"/>
    <n v="-246.96"/>
    <x v="0"/>
  </r>
  <r>
    <n v="3909"/>
    <d v="2024-03-24T00:00:00"/>
    <d v="2024-03-24T00:00:00"/>
    <x v="12"/>
    <x v="5"/>
    <x v="2"/>
    <n v="-39"/>
    <x v="0"/>
  </r>
  <r>
    <n v="3909"/>
    <d v="2024-03-22T00:00:00"/>
    <d v="2024-03-22T00:00:00"/>
    <x v="1"/>
    <x v="1"/>
    <x v="1"/>
    <n v="286"/>
    <x v="0"/>
  </r>
  <r>
    <n v="3909"/>
    <d v="2024-03-01T00:00:00"/>
    <d v="2024-03-01T00:00:00"/>
    <x v="9"/>
    <x v="5"/>
    <x v="2"/>
    <n v="-160.13"/>
    <x v="0"/>
  </r>
  <r>
    <n v="3909"/>
    <d v="2024-02-24T00:00:00"/>
    <d v="2024-02-25T00:00:00"/>
    <x v="0"/>
    <x v="0"/>
    <x v="0"/>
    <n v="-246.96"/>
    <x v="0"/>
  </r>
  <r>
    <n v="3909"/>
    <d v="2024-02-23T00:00:00"/>
    <d v="2024-02-23T00:00:00"/>
    <x v="12"/>
    <x v="5"/>
    <x v="2"/>
    <n v="-39"/>
    <x v="0"/>
  </r>
  <r>
    <n v="3909"/>
    <d v="2024-02-21T00:00:00"/>
    <d v="2024-02-23T00:00:00"/>
    <x v="13"/>
    <x v="3"/>
    <x v="0"/>
    <n v="-99.15"/>
    <x v="0"/>
  </r>
  <r>
    <n v="3909"/>
    <d v="2024-02-20T00:00:00"/>
    <d v="2024-02-22T00:00:00"/>
    <x v="14"/>
    <x v="3"/>
    <x v="0"/>
    <n v="-17.329999999999998"/>
    <x v="0"/>
  </r>
  <r>
    <n v="3909"/>
    <d v="2024-02-20T00:00:00"/>
    <d v="2024-02-21T00:00:00"/>
    <x v="15"/>
    <x v="6"/>
    <x v="0"/>
    <n v="-72.349999999999994"/>
    <x v="0"/>
  </r>
  <r>
    <n v="3909"/>
    <d v="2024-02-20T00:00:00"/>
    <d v="2024-02-21T00:00:00"/>
    <x v="16"/>
    <x v="7"/>
    <x v="0"/>
    <n v="-12.95"/>
    <x v="0"/>
  </r>
  <r>
    <n v="3909"/>
    <d v="2024-02-20T00:00:00"/>
    <d v="2024-02-21T00:00:00"/>
    <x v="16"/>
    <x v="7"/>
    <x v="0"/>
    <n v="-12.95"/>
    <x v="0"/>
  </r>
  <r>
    <n v="3909"/>
    <d v="2024-02-15T00:00:00"/>
    <d v="2024-02-16T00:00:00"/>
    <x v="17"/>
    <x v="3"/>
    <x v="0"/>
    <n v="-28.58"/>
    <x v="0"/>
  </r>
  <r>
    <n v="3909"/>
    <d v="2024-02-12T00:00:00"/>
    <d v="2024-02-14T00:00:00"/>
    <x v="18"/>
    <x v="3"/>
    <x v="0"/>
    <n v="-121.31"/>
    <x v="0"/>
  </r>
  <r>
    <n v="3909"/>
    <d v="2024-02-12T00:00:00"/>
    <d v="2024-02-14T00:00:00"/>
    <x v="13"/>
    <x v="3"/>
    <x v="0"/>
    <n v="-74.94"/>
    <x v="0"/>
  </r>
  <r>
    <n v="3909"/>
    <d v="2024-02-06T00:00:00"/>
    <d v="2024-02-07T00:00:00"/>
    <x v="15"/>
    <x v="6"/>
    <x v="0"/>
    <n v="-80.03"/>
    <x v="0"/>
  </r>
  <r>
    <n v="3909"/>
    <d v="2024-02-06T00:00:00"/>
    <d v="2024-02-07T00:00:00"/>
    <x v="3"/>
    <x v="2"/>
    <x v="0"/>
    <n v="-6"/>
    <x v="0"/>
  </r>
  <r>
    <n v="3909"/>
    <d v="2024-02-06T00:00:00"/>
    <d v="2024-02-07T00:00:00"/>
    <x v="3"/>
    <x v="2"/>
    <x v="0"/>
    <n v="-3.5"/>
    <x v="0"/>
  </r>
  <r>
    <n v="3909"/>
    <d v="2024-02-06T00:00:00"/>
    <d v="2024-02-07T00:00:00"/>
    <x v="3"/>
    <x v="2"/>
    <x v="0"/>
    <n v="-0.5"/>
    <x v="0"/>
  </r>
  <r>
    <n v="3909"/>
    <d v="2024-02-01T00:00:00"/>
    <d v="2024-02-01T00:00:00"/>
    <x v="9"/>
    <x v="5"/>
    <x v="2"/>
    <n v="-155.51"/>
    <x v="0"/>
  </r>
  <r>
    <n v="3909"/>
    <d v="2024-01-29T00:00:00"/>
    <d v="2024-01-29T00:00:00"/>
    <x v="2"/>
    <x v="1"/>
    <x v="1"/>
    <n v="200"/>
    <x v="0"/>
  </r>
  <r>
    <n v="3909"/>
    <d v="2024-01-26T00:00:00"/>
    <d v="2024-01-28T00:00:00"/>
    <x v="14"/>
    <x v="3"/>
    <x v="0"/>
    <n v="-65.3"/>
    <x v="0"/>
  </r>
  <r>
    <n v="3909"/>
    <d v="2024-01-26T00:00:00"/>
    <d v="2024-01-26T00:00:00"/>
    <x v="19"/>
    <x v="3"/>
    <x v="0"/>
    <n v="-33.630000000000003"/>
    <x v="0"/>
  </r>
  <r>
    <n v="3909"/>
    <d v="2024-01-24T00:00:00"/>
    <d v="2024-01-25T00:00:00"/>
    <x v="0"/>
    <x v="0"/>
    <x v="0"/>
    <n v="-234.8"/>
    <x v="0"/>
  </r>
  <r>
    <n v="3909"/>
    <d v="2024-01-22T00:00:00"/>
    <d v="2024-01-24T00:00:00"/>
    <x v="14"/>
    <x v="3"/>
    <x v="0"/>
    <n v="-19.579999999999998"/>
    <x v="0"/>
  </r>
  <r>
    <n v="3909"/>
    <d v="2024-01-23T00:00:00"/>
    <d v="2024-01-23T00:00:00"/>
    <x v="12"/>
    <x v="5"/>
    <x v="2"/>
    <n v="-39"/>
    <x v="0"/>
  </r>
  <r>
    <n v="3909"/>
    <d v="2024-01-11T00:00:00"/>
    <d v="2024-01-12T00:00:00"/>
    <x v="20"/>
    <x v="8"/>
    <x v="0"/>
    <n v="-282.19"/>
    <x v="0"/>
  </r>
  <r>
    <n v="3909"/>
    <d v="2024-01-10T00:00:00"/>
    <d v="2024-01-11T00:00:00"/>
    <x v="17"/>
    <x v="3"/>
    <x v="0"/>
    <n v="-24.5"/>
    <x v="0"/>
  </r>
  <r>
    <n v="3909"/>
    <d v="2024-01-09T00:00:00"/>
    <d v="2024-01-10T00:00:00"/>
    <x v="21"/>
    <x v="3"/>
    <x v="0"/>
    <n v="-33.76"/>
    <x v="0"/>
  </r>
  <r>
    <n v="3909"/>
    <d v="2024-01-09T00:00:00"/>
    <d v="2024-01-10T00:00:00"/>
    <x v="15"/>
    <x v="6"/>
    <x v="0"/>
    <n v="-87.82"/>
    <x v="0"/>
  </r>
  <r>
    <n v="3909"/>
    <d v="2024-01-03T00:00:00"/>
    <d v="2024-01-04T00:00:00"/>
    <x v="3"/>
    <x v="2"/>
    <x v="0"/>
    <n v="-15"/>
    <x v="0"/>
  </r>
  <r>
    <n v="3909"/>
    <d v="2024-01-03T00:00:00"/>
    <d v="2024-01-04T00:00:00"/>
    <x v="3"/>
    <x v="2"/>
    <x v="0"/>
    <n v="-27"/>
    <x v="0"/>
  </r>
  <r>
    <n v="3909"/>
    <d v="2024-01-01T00:00:00"/>
    <d v="2024-01-01T00:00:00"/>
    <x v="9"/>
    <x v="5"/>
    <x v="2"/>
    <n v="-131.22999999999999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Chase0117"/>
    <s v="OldAcct"/>
    <s v="DEBIT"/>
    <d v="2024-12-03T00:00:00"/>
    <s v="BALANCE TRANSFER DEBIT"/>
    <n v="-55102.01"/>
    <s v="MISC_DEBIT"/>
    <n v="0"/>
    <m/>
    <x v="0"/>
    <x v="0"/>
    <m/>
  </r>
  <r>
    <s v="Chase3789"/>
    <s v="NewAcct"/>
    <s v="CHECK"/>
    <d v="2024-12-23T00:00:00"/>
    <s v="CHECK 1581  "/>
    <n v="-16900"/>
    <s v="CHECK_PAID"/>
    <n v="11502.25"/>
    <n v="1581"/>
    <x v="0"/>
    <x v="1"/>
    <s v="Need confirmation"/>
  </r>
  <r>
    <s v="Chase0117"/>
    <s v="OldAcct"/>
    <s v="DEBIT"/>
    <d v="2024-11-15T00:00:00"/>
    <s v="Payment to Chase card ending in 6289 11/15"/>
    <n v="-11157.18"/>
    <s v="LOAN_PMT"/>
    <n v="44499.42"/>
    <m/>
    <x v="0"/>
    <x v="0"/>
    <m/>
  </r>
  <r>
    <s v="Chase0117"/>
    <s v="OldAcct"/>
    <s v="CHECK"/>
    <d v="2024-01-24T00:00:00"/>
    <s v="CHECK 776  "/>
    <n v="-11000"/>
    <s v="CHECK_PAID"/>
    <n v="1923.92"/>
    <n v="776"/>
    <x v="0"/>
    <x v="1"/>
    <s v="Need confirmation"/>
  </r>
  <r>
    <s v="Chase0117"/>
    <s v="OldAcct"/>
    <s v="DEBIT"/>
    <d v="2024-11-27T00:00:00"/>
    <s v="ORIG CO NAME:AMERICAN EXPRESS       ORIG ID:9493560001 DESC DATE:241127 CO ENTRY DESCR:ACH PMT   SEC:CCD    TRACE#:021000028652499 EED:241127   IND ID:A3732                        IND NAME:colin devlin                                                                                                 AM TRN: 3328652499TC"/>
    <n v="-9785.2199999999993"/>
    <s v="ACH_DEBIT"/>
    <n v="61938.16"/>
    <m/>
    <x v="0"/>
    <x v="0"/>
    <s v="Credit Card Payment"/>
  </r>
  <r>
    <s v="Chase0117"/>
    <s v="OldAcct"/>
    <s v="CHECK"/>
    <d v="2024-09-16T00:00:00"/>
    <s v="CHECK 986  "/>
    <n v="-6300"/>
    <s v="CHECK_PAID"/>
    <n v="6408.96"/>
    <n v="986"/>
    <x v="0"/>
    <x v="1"/>
    <s v="Need confirmation"/>
  </r>
  <r>
    <s v="Chase0117"/>
    <s v="OldAcct"/>
    <s v="DEBIT"/>
    <d v="2024-10-02T00:00:00"/>
    <s v="Payment to Chase card ending in 3909 10/02"/>
    <n v="-6280.4"/>
    <s v="LOAN_PMT"/>
    <n v="33320.14"/>
    <m/>
    <x v="0"/>
    <x v="0"/>
    <m/>
  </r>
  <r>
    <s v="Chase0117"/>
    <s v="OldAcct"/>
    <s v="DEBIT"/>
    <d v="2024-01-24T00:00:00"/>
    <s v="ORIG CO NAME:FIRST INSURANCE        ORIG ID:2363437365 DESC DATE:       CO ENTRY DESCR:INSURANCE SEC:CCD    TRACE#:071925331853259 EED:240124   IND ID:900-98374911                 IND NAME:DEVLIN INTERIORS INC                                                                                         PBS ACH DEBIT TRN: 0241853259TC"/>
    <n v="-5894.55"/>
    <s v="ACH_DEBIT"/>
    <n v="12923.92"/>
    <m/>
    <x v="0"/>
    <x v="2"/>
    <m/>
  </r>
  <r>
    <s v="Chase3789"/>
    <s v="NewAcct"/>
    <s v="CHECK"/>
    <d v="2024-12-17T00:00:00"/>
    <s v="CHECK 1578  12/17"/>
    <n v="-5500"/>
    <s v="CHECK_PAID"/>
    <n v="39106.74"/>
    <n v="1578"/>
    <x v="0"/>
    <x v="1"/>
    <s v="Need confirmation"/>
  </r>
  <r>
    <s v="Chase0117"/>
    <s v="OldAcct"/>
    <s v="DEBIT"/>
    <d v="2024-01-16T00:00:00"/>
    <s v="ORIG CO NAME:NYSIF                  ORIG ID:9951211000 DESC DATE:JAN 24 CO ENTRY DESCR:WEB_PAY   SEC:WEB    TRACE#:021000021834100 EED:240116   IND ID:01755035122523               IND NAME:COLIN DEVLIN TRN: 0161834100TC"/>
    <n v="-5369.32"/>
    <s v="ACH_DEBIT"/>
    <n v="19824.87"/>
    <m/>
    <x v="0"/>
    <x v="2"/>
    <m/>
  </r>
  <r>
    <s v="Chase0117"/>
    <s v="OldAcct"/>
    <s v="CHECK"/>
    <d v="2024-10-09T00:00:00"/>
    <s v="CHECK 999  "/>
    <n v="-5300"/>
    <s v="CHECK_PAID"/>
    <n v="18717.150000000001"/>
    <n v="999"/>
    <x v="0"/>
    <x v="1"/>
    <s v="Need confirmation"/>
  </r>
  <r>
    <s v="Chase0117"/>
    <s v="OldAcct"/>
    <s v="DEBIT"/>
    <d v="2024-11-05T00:00:00"/>
    <s v="ORIG CO NAME:AMERICAN EXPRESS       ORIG ID:2005032111 DESC DATE:241105 CO ENTRY DESCR:ACH PMT   SEC:CCD    TRACE#:021000023873242 EED:241105   IND ID:M9744                        IND NAME:colin devlin                                                                                                 ER AM TRN: 3103873242TC"/>
    <n v="-5000"/>
    <s v="ACH_DEBIT"/>
    <n v="57200.87"/>
    <m/>
    <x v="0"/>
    <x v="0"/>
    <s v="Credit Card Payment"/>
  </r>
  <r>
    <s v="Chase0117"/>
    <s v="OldAcct"/>
    <s v="DEBIT"/>
    <d v="2024-10-16T00:00:00"/>
    <s v="ORIG CO NAME:AMERICAN EXPRESS       ORIG ID:2005032111 DESC DATE:241016 CO ENTRY DESCR:ACH PMT   SEC:CCD    TRACE#:021000023712347 EED:241016   IND ID:M9180                        IND NAME:colin devlin                                                                                                 ER AM TRN: 2903712347TC"/>
    <n v="-5000"/>
    <s v="ACH_DEBIT"/>
    <n v="33926.300000000003"/>
    <m/>
    <x v="0"/>
    <x v="0"/>
    <s v="Credit Card Payment"/>
  </r>
  <r>
    <s v="Chase0117"/>
    <s v="OldAcct"/>
    <s v="DEBIT"/>
    <d v="2024-10-10T00:00:00"/>
    <s v="TERRA SUPPLY 718-965-9000 NY                 10/09"/>
    <n v="-5000"/>
    <s v="DEBIT_CARD"/>
    <n v="13717.15"/>
    <m/>
    <x v="0"/>
    <x v="1"/>
    <m/>
  </r>
  <r>
    <s v="Chase0117"/>
    <s v="OldAcct"/>
    <s v="CHECK"/>
    <d v="2024-07-05T00:00:00"/>
    <s v="CHECK 973  "/>
    <n v="-4408"/>
    <s v="CHECK_PAID"/>
    <n v="6437.33"/>
    <n v="973"/>
    <x v="0"/>
    <x v="1"/>
    <s v="Need confirmation"/>
  </r>
  <r>
    <s v="Chase0117"/>
    <s v="OldAcct"/>
    <s v="CHECK"/>
    <d v="2024-05-13T00:00:00"/>
    <s v="CHECK 957  "/>
    <n v="-4400"/>
    <s v="CHECK_PAID"/>
    <n v="9162.33"/>
    <n v="957"/>
    <x v="0"/>
    <x v="1"/>
    <s v="Need confirmation"/>
  </r>
  <r>
    <s v="Chase3789"/>
    <s v="NewAcct"/>
    <s v="CHECK"/>
    <d v="2024-12-23T00:00:00"/>
    <s v="CHECK 1576  12/23"/>
    <n v="-4088.59"/>
    <s v="CHECK_PAID"/>
    <n v="29763.68"/>
    <n v="1576"/>
    <x v="1"/>
    <x v="3"/>
    <s v="Loan Payment?"/>
  </r>
  <r>
    <s v="Chase0117"/>
    <s v="OldAcct"/>
    <s v="CHECK"/>
    <d v="2024-11-18T00:00:00"/>
    <s v="CHECK 713  11/18"/>
    <n v="-4088.59"/>
    <s v="CHECK_PAID"/>
    <n v="37974.379999999997"/>
    <n v="713"/>
    <x v="1"/>
    <x v="3"/>
    <s v="Loan Payment?"/>
  </r>
  <r>
    <s v="Chase0117"/>
    <s v="OldAcct"/>
    <s v="CHECK"/>
    <d v="2024-10-21T00:00:00"/>
    <s v="CHECK 704  10/21"/>
    <n v="-4088.59"/>
    <s v="CHECK_PAID"/>
    <n v="25272.080000000002"/>
    <n v="704"/>
    <x v="1"/>
    <x v="3"/>
    <s v="Loan Payment?"/>
  </r>
  <r>
    <s v="Chase0117"/>
    <s v="OldAcct"/>
    <s v="CHECK"/>
    <d v="2024-09-18T00:00:00"/>
    <s v="CHECK 989  09/18"/>
    <n v="-4088.59"/>
    <s v="CHECK_PAID"/>
    <n v="1820.37"/>
    <n v="989"/>
    <x v="1"/>
    <x v="3"/>
    <s v="Loan Payment?"/>
  </r>
  <r>
    <s v="Chase0117"/>
    <s v="OldAcct"/>
    <s v="CHECK"/>
    <d v="2024-08-22T00:00:00"/>
    <s v="CHECK 983  08/22"/>
    <n v="-4088.59"/>
    <s v="CHECK_PAID"/>
    <n v="13856.69"/>
    <n v="983"/>
    <x v="1"/>
    <x v="3"/>
    <s v="Loan Payment?"/>
  </r>
  <r>
    <s v="Chase0117"/>
    <s v="OldAcct"/>
    <s v="CHECK"/>
    <d v="2024-07-24T00:00:00"/>
    <s v="CHECK 978  07/24"/>
    <n v="-4088.59"/>
    <s v="CHECK_PAID"/>
    <n v="6880.33"/>
    <n v="978"/>
    <x v="1"/>
    <x v="3"/>
    <s v="Loan Payment?"/>
  </r>
  <r>
    <s v="Chase0117"/>
    <s v="OldAcct"/>
    <s v="CHECK"/>
    <d v="2024-06-24T00:00:00"/>
    <s v="CHECK 971  06/24"/>
    <n v="-4088.59"/>
    <s v="CHECK_PAID"/>
    <n v="3077.33"/>
    <n v="971"/>
    <x v="1"/>
    <x v="3"/>
    <s v="Loan Payment?"/>
  </r>
  <r>
    <s v="Chase0117"/>
    <s v="OldAcct"/>
    <s v="CHECK"/>
    <d v="2024-05-16T00:00:00"/>
    <s v="CHECK 964  05/16"/>
    <n v="-4088.59"/>
    <s v="CHECK_PAID"/>
    <n v="4770.74"/>
    <n v="964"/>
    <x v="1"/>
    <x v="3"/>
    <s v="Loan Payment?"/>
  </r>
  <r>
    <s v="Chase0117"/>
    <s v="OldAcct"/>
    <s v="CHECK"/>
    <d v="2024-04-15T00:00:00"/>
    <s v="CHECK 956  04/15"/>
    <n v="-4088.59"/>
    <s v="CHECK_PAID"/>
    <n v="6433.31"/>
    <n v="956"/>
    <x v="1"/>
    <x v="3"/>
    <s v="Loan Payment?"/>
  </r>
  <r>
    <s v="Chase0117"/>
    <s v="OldAcct"/>
    <s v="DEBIT"/>
    <d v="2024-02-15T00:00:00"/>
    <s v="ONLINE DOMESTIC WIRE TRANSFER A/C: TESSA J PERUTZ BROOKLYN NY 11217-1338 US REF: FIRST PAYMENT 47 WALKER ST/BNF/FIRST PAYMENT/ACC/766375260 TESSA PERUT Z 270 PARK AVE NY 10017 NEW YORK NY 10017 US TRN: 3301894046ES 02/15"/>
    <n v="-4088.59"/>
    <s v="WIRE_OUTGOING"/>
    <n v="7002.56"/>
    <m/>
    <x v="0"/>
    <x v="0"/>
    <s v="Loan Payment?"/>
  </r>
  <r>
    <s v="Chase0117"/>
    <s v="OldAcct"/>
    <s v="CHECK"/>
    <d v="2024-11-27T00:00:00"/>
    <s v="CHECK 716  "/>
    <n v="-4000"/>
    <s v="CHECK_PAID"/>
    <n v="71723.38"/>
    <n v="716"/>
    <x v="0"/>
    <x v="1"/>
    <s v="Need confirmation"/>
  </r>
  <r>
    <s v="Chase0117"/>
    <s v="OldAcct"/>
    <s v="CHECK"/>
    <d v="2024-11-22T00:00:00"/>
    <s v="CHECK 1000  "/>
    <n v="-4000"/>
    <s v="CHECK_PAID"/>
    <n v="68597.38"/>
    <n v="1000"/>
    <x v="0"/>
    <x v="1"/>
    <s v="Need confirmation"/>
  </r>
  <r>
    <s v="Chase0117"/>
    <s v="OldAcct"/>
    <s v="CHECK"/>
    <d v="2024-02-29T00:00:00"/>
    <s v="CHECK 788  "/>
    <n v="-3965"/>
    <s v="CHECK_PAID"/>
    <n v="-1304.8499999999999"/>
    <n v="788"/>
    <x v="0"/>
    <x v="1"/>
    <s v="Need confirmation"/>
  </r>
  <r>
    <s v="Chase0117"/>
    <s v="OldAcct"/>
    <s v="CHECK"/>
    <d v="2024-06-12T00:00:00"/>
    <s v="CHECK 967  "/>
    <n v="-3800"/>
    <s v="CHECK_PAID"/>
    <n v="136.33000000000001"/>
    <n v="967"/>
    <x v="0"/>
    <x v="1"/>
    <s v="Need confirmation"/>
  </r>
  <r>
    <s v="Chase0117"/>
    <s v="OldAcct"/>
    <s v="CHECK"/>
    <d v="2024-02-26T00:00:00"/>
    <s v="CHECK 794  "/>
    <n v="-3400"/>
    <s v="CHECK_PAID"/>
    <n v="4940.1499999999996"/>
    <n v="794"/>
    <x v="0"/>
    <x v="1"/>
    <s v="Need confirmation"/>
  </r>
  <r>
    <s v="Chase0117"/>
    <s v="OldAcct"/>
    <s v="CHECK"/>
    <d v="2024-09-16T00:00:00"/>
    <s v="CHECK 987  "/>
    <n v="-2870.73"/>
    <s v="CHECK_PAID"/>
    <n v="12708.96"/>
    <n v="987"/>
    <x v="0"/>
    <x v="1"/>
    <s v="Need confirmation"/>
  </r>
  <r>
    <s v="Chase0117"/>
    <s v="OldAcct"/>
    <s v="DEBIT"/>
    <d v="2024-10-09T00:00:00"/>
    <s v="Zelle payment to Mike Murray 22323133581"/>
    <n v="-2850"/>
    <s v="QUICKPAY_DEBIT"/>
    <n v="24017.15"/>
    <m/>
    <x v="0"/>
    <x v="4"/>
    <s v="Need confirmation"/>
  </r>
  <r>
    <s v="Chase0117"/>
    <s v="OldAcct"/>
    <s v="DEBIT"/>
    <d v="2024-09-27T00:00:00"/>
    <s v="ORIG CO NAME:AMERICAN EXPRESS       ORIG ID:2005032111 DESC DATE:240927 CO ENTRY DESCR:ACH PMT   SEC:CCD    TRACE#:021000025838140 EED:240927   IND ID:M7682                        IND NAME:colin devlin                                                                                                 ER AM TRN: 2715838140TC"/>
    <n v="-2500"/>
    <s v="ACH_DEBIT"/>
    <n v="39642.449999999997"/>
    <m/>
    <x v="0"/>
    <x v="0"/>
    <s v="Credit Card Payment"/>
  </r>
  <r>
    <s v="Chase0117"/>
    <s v="OldAcct"/>
    <s v="DEBIT"/>
    <d v="2024-09-27T00:00:00"/>
    <s v="Payment to Chase card ending in 3909 09/27"/>
    <n v="-2500"/>
    <s v="LOAN_PMT"/>
    <n v="42142.45"/>
    <m/>
    <x v="0"/>
    <x v="0"/>
    <s v="Credit Card Payment"/>
  </r>
  <r>
    <s v="Chase0117"/>
    <s v="OldAcct"/>
    <s v="DEBIT"/>
    <d v="2024-09-05T00:00:00"/>
    <s v="Zelle payment to Plumber 86th St 21962711777"/>
    <n v="-2500"/>
    <s v="QUICKPAY_DEBIT"/>
    <n v="9444.69"/>
    <m/>
    <x v="0"/>
    <x v="4"/>
    <m/>
  </r>
  <r>
    <s v="Chase3789"/>
    <s v="NewAcct"/>
    <s v="CHECK"/>
    <d v="2024-12-16T00:00:00"/>
    <s v="CHECK 1577  "/>
    <n v="-2459.79"/>
    <s v="CHECK_PAID"/>
    <n v="44798.74"/>
    <n v="1577"/>
    <x v="0"/>
    <x v="1"/>
    <m/>
  </r>
  <r>
    <s v="Chase0117"/>
    <s v="OldAcct"/>
    <s v="CHECK"/>
    <d v="2024-11-27T00:00:00"/>
    <s v="CHECK 717  "/>
    <n v="-2459.79"/>
    <s v="CHECK_PAID"/>
    <n v="59478.37"/>
    <n v="717"/>
    <x v="0"/>
    <x v="1"/>
    <m/>
  </r>
  <r>
    <s v="Chase0117"/>
    <s v="OldAcct"/>
    <s v="CHECK"/>
    <d v="2024-11-04T00:00:00"/>
    <s v="CHECK 709  "/>
    <n v="-2459.79"/>
    <s v="CHECK_PAID"/>
    <n v="56700.87"/>
    <n v="709"/>
    <x v="0"/>
    <x v="1"/>
    <m/>
  </r>
  <r>
    <s v="Chase0117"/>
    <s v="OldAcct"/>
    <s v="CHECK"/>
    <d v="2024-09-19T00:00:00"/>
    <s v="CHECK 990  "/>
    <n v="-2459.79"/>
    <s v="CHECK_PAID"/>
    <n v="40.58"/>
    <n v="990"/>
    <x v="0"/>
    <x v="1"/>
    <m/>
  </r>
  <r>
    <s v="Chase0117"/>
    <s v="OldAcct"/>
    <s v="CHECK"/>
    <d v="2024-05-14T00:00:00"/>
    <s v="CHECK 951  "/>
    <n v="-2200"/>
    <s v="CHECK_PAID"/>
    <n v="6962.33"/>
    <n v="951"/>
    <x v="0"/>
    <x v="1"/>
    <m/>
  </r>
  <r>
    <s v="Chase0117"/>
    <s v="OldAcct"/>
    <s v="CHECK"/>
    <d v="2024-05-14T00:00:00"/>
    <s v="CHECK 954  "/>
    <n v="-2005"/>
    <s v="CHECK_PAID"/>
    <n v="4957.33"/>
    <n v="954"/>
    <x v="0"/>
    <x v="1"/>
    <m/>
  </r>
  <r>
    <s v="Chase0117"/>
    <s v="OldAcct"/>
    <s v="DEBIT"/>
    <d v="2024-11-08T00:00:00"/>
    <s v="WITHDRAWAL 11/08"/>
    <n v="-2000"/>
    <s v="MISC_DEBIT"/>
    <n v="51345.04"/>
    <m/>
    <x v="0"/>
    <x v="0"/>
    <m/>
  </r>
  <r>
    <s v="Chase0117"/>
    <s v="OldAcct"/>
    <s v="DEBIT"/>
    <d v="2024-11-04T00:00:00"/>
    <s v="TERRA SUPPLY 718-965-9000 NY                 11/01"/>
    <n v="-2000"/>
    <s v="DEBIT_CARD"/>
    <n v="60160.66"/>
    <m/>
    <x v="0"/>
    <x v="1"/>
    <m/>
  </r>
  <r>
    <s v="Chase0117"/>
    <s v="OldAcct"/>
    <s v="DEBIT"/>
    <d v="2024-10-22T00:00:00"/>
    <s v="WITHDRAWAL 10/22"/>
    <n v="-2000"/>
    <s v="MISC_DEBIT"/>
    <n v="21270.51"/>
    <m/>
    <x v="0"/>
    <x v="0"/>
    <m/>
  </r>
  <r>
    <s v="Chase0117"/>
    <s v="OldAcct"/>
    <s v="DEBIT"/>
    <d v="2024-10-18T00:00:00"/>
    <s v="WITHDRAWAL 10/18"/>
    <n v="-2000"/>
    <s v="MISC_DEBIT"/>
    <n v="29873.96"/>
    <m/>
    <x v="0"/>
    <x v="0"/>
    <m/>
  </r>
  <r>
    <s v="Chase0117"/>
    <s v="OldAcct"/>
    <s v="DEBIT"/>
    <d v="2024-10-03T00:00:00"/>
    <s v="TERRA SUPPLY 718-965-9000 NY                 10/02"/>
    <n v="-2000"/>
    <s v="DEBIT_CARD"/>
    <n v="31320.14"/>
    <m/>
    <x v="0"/>
    <x v="1"/>
    <m/>
  </r>
  <r>
    <s v="Chase0117"/>
    <s v="OldAcct"/>
    <s v="DEBIT"/>
    <d v="2024-08-05T00:00:00"/>
    <s v="Online Transfer to CHK ...9199 transaction#: 21624764926 08/05"/>
    <n v="-2000"/>
    <s v="ACCT_XFER"/>
    <n v="4531.96"/>
    <m/>
    <x v="0"/>
    <x v="0"/>
    <m/>
  </r>
  <r>
    <s v="Chase0117"/>
    <s v="OldAcct"/>
    <s v="DEBIT"/>
    <d v="2024-02-26T00:00:00"/>
    <s v="Zelle payment to Plumber 86th St 19976977064"/>
    <n v="-2000"/>
    <s v="QUICKPAY_DEBIT"/>
    <n v="2940.15"/>
    <m/>
    <x v="0"/>
    <x v="4"/>
    <m/>
  </r>
  <r>
    <s v="Chase0117"/>
    <s v="OldAcct"/>
    <s v="DEBIT"/>
    <d v="2024-09-10T00:00:00"/>
    <s v="ORIG CO NAME:NYC DEPT OF FINA       ORIG ID:6136400434 DESC DATE:240909 CO ENTRY DESCR:TAXPAYMENTSEC:PPD    TRACE#:051000013349340 EED:240910   IND ID:                             IND NAME:DEVLIN INTERIORS INC TRN: 2543349340TC"/>
    <n v="-1875"/>
    <s v="ACH_DEBIT"/>
    <n v="22729.69"/>
    <m/>
    <x v="0"/>
    <x v="5"/>
    <m/>
  </r>
  <r>
    <s v="Chase0117"/>
    <s v="OldAcct"/>
    <s v="DEBIT"/>
    <d v="2024-10-21T00:00:00"/>
    <s v="Payment to Chase card ending in 3909 10/21"/>
    <n v="-1831.87"/>
    <s v="LOAN_PMT"/>
    <n v="32522.1"/>
    <m/>
    <x v="0"/>
    <x v="0"/>
    <s v="Credit Card Payment"/>
  </r>
  <r>
    <s v="Chase0117"/>
    <s v="OldAcct"/>
    <s v="DEBIT"/>
    <d v="2024-11-22T00:00:00"/>
    <s v="Payment to Chase card ending in 3909 11/22"/>
    <n v="-1807.05"/>
    <s v="LOAN_PMT"/>
    <n v="65428.9"/>
    <m/>
    <x v="0"/>
    <x v="0"/>
    <s v="Credit Card Payment"/>
  </r>
  <r>
    <s v="Chase0117"/>
    <s v="OldAcct"/>
    <s v="DEBIT"/>
    <d v="2024-11-01T00:00:00"/>
    <s v="Zelle payment to Christina JPM99aqemz0s"/>
    <n v="-1700"/>
    <s v="CHASE_TO_PARTNERFI"/>
    <n v="62160.66"/>
    <m/>
    <x v="0"/>
    <x v="0"/>
    <m/>
  </r>
  <r>
    <s v="Chase0117"/>
    <s v="OldAcct"/>
    <s v="DEBIT"/>
    <d v="2024-10-31T00:00:00"/>
    <s v="Zelle payment to Nasri Taxes JPM99aqblqdc"/>
    <n v="-1700"/>
    <s v="CHASE_TO_PARTNERFI"/>
    <n v="60534.64"/>
    <m/>
    <x v="0"/>
    <x v="4"/>
    <s v="Payment to Suresh"/>
  </r>
  <r>
    <s v="Chase0117"/>
    <s v="OldAcct"/>
    <s v="DEBIT"/>
    <d v="2024-10-25T00:00:00"/>
    <s v="ATM WITHDRAWAL                       000809  10/25345 HUDSO"/>
    <n v="-1600"/>
    <s v="ATM"/>
    <n v="21546.22"/>
    <m/>
    <x v="0"/>
    <x v="0"/>
    <m/>
  </r>
  <r>
    <s v="Chase0117"/>
    <s v="OldAcct"/>
    <s v="DEBIT"/>
    <d v="2024-08-28T00:00:00"/>
    <s v="Online Transfer to CHK ...9199 transaction#: 21863909587 08/28"/>
    <n v="-1500"/>
    <s v="ACCT_XFER"/>
    <n v="15054.69"/>
    <m/>
    <x v="0"/>
    <x v="0"/>
    <m/>
  </r>
  <r>
    <s v="Chase0117"/>
    <s v="OldAcct"/>
    <s v="DEBIT"/>
    <d v="2024-08-19T00:00:00"/>
    <s v="Online Transfer to CHK ...9199 transaction#: 21776780701 08/19"/>
    <n v="-1500"/>
    <s v="ACCT_XFER"/>
    <n v="11181.96"/>
    <m/>
    <x v="0"/>
    <x v="0"/>
    <m/>
  </r>
  <r>
    <s v="Chase0117"/>
    <s v="OldAcct"/>
    <s v="DEBIT"/>
    <d v="2024-05-23T00:00:00"/>
    <s v="ORIG CO NAME:AMERICAN EXPRESS       ORIG ID:2005032111 DESC DATE:240523 CO ENTRY DESCR:ACH PMT   SEC:CCD    TRACE#:021000022831434 EED:240523   IND ID:M4264                        IND NAME:colin devlin                                                                                                 ER AM TRN: 1442831434TC"/>
    <n v="-1500"/>
    <s v="ACH_DEBIT"/>
    <n v="2476.33"/>
    <m/>
    <x v="0"/>
    <x v="0"/>
    <s v="Credit Card Payment"/>
  </r>
  <r>
    <s v="Chase0117"/>
    <s v="OldAcct"/>
    <s v="DEBIT"/>
    <d v="2024-04-09T00:00:00"/>
    <s v="Payment to Chase card ending in 3909 04/09"/>
    <n v="-1500"/>
    <s v="LOAN_PMT"/>
    <n v="12561.9"/>
    <m/>
    <x v="0"/>
    <x v="0"/>
    <s v="Credit Card Payment"/>
  </r>
  <r>
    <s v="Chase0117"/>
    <s v="OldAcct"/>
    <s v="DEBIT"/>
    <d v="2024-03-29T00:00:00"/>
    <s v="Zelle payment to Plumber 86th St 20304142515"/>
    <n v="-1500"/>
    <s v="QUICKPAY_DEBIT"/>
    <n v="10842.9"/>
    <m/>
    <x v="0"/>
    <x v="4"/>
    <m/>
  </r>
  <r>
    <s v="Chase3789"/>
    <s v="NewAcct"/>
    <s v="DEBIT"/>
    <d v="2024-12-30T00:00:00"/>
    <s v="Online Transfer to  CHK ...9199 transaction#: 23146306732 12/30"/>
    <n v="-1361.43"/>
    <s v="ACCT_XFER"/>
    <n v="7417.96"/>
    <m/>
    <x v="0"/>
    <x v="0"/>
    <m/>
  </r>
  <r>
    <s v="Chase3789"/>
    <s v="NewAcct"/>
    <s v="DEBIT"/>
    <d v="2024-12-27T00:00:00"/>
    <s v="Online Transfer to  CHK ...9199 transaction#: 23112489788 12/27"/>
    <n v="-1361.43"/>
    <s v="ACCT_XFER"/>
    <n v="8779.39"/>
    <m/>
    <x v="0"/>
    <x v="0"/>
    <m/>
  </r>
  <r>
    <s v="Chase3789"/>
    <s v="NewAcct"/>
    <s v="DEBIT"/>
    <d v="2024-12-27T00:00:00"/>
    <s v="Online Transfer to  CHK ...9199 transaction#: 23113606209 12/27"/>
    <n v="-1361.43"/>
    <s v="ACCT_XFER"/>
    <n v="10140.82"/>
    <m/>
    <x v="0"/>
    <x v="0"/>
    <m/>
  </r>
  <r>
    <s v="Chase3789"/>
    <s v="NewAcct"/>
    <s v="DEBIT"/>
    <d v="2024-12-23T00:00:00"/>
    <s v="Online Transfer to  CHK ...9199 transaction#: 23068110348 12/23"/>
    <n v="-1361.43"/>
    <s v="ACCT_XFER"/>
    <n v="28402.25"/>
    <m/>
    <x v="0"/>
    <x v="0"/>
    <m/>
  </r>
  <r>
    <s v="Chase3789"/>
    <s v="NewAcct"/>
    <s v="DEBIT"/>
    <d v="2024-12-20T00:00:00"/>
    <s v="Online Transfer to  CHK ...9199 transaction#: 23035124858 12/20"/>
    <n v="-1361.43"/>
    <s v="ACCT_XFER"/>
    <n v="34506.68"/>
    <m/>
    <x v="0"/>
    <x v="0"/>
    <m/>
  </r>
  <r>
    <s v="Chase3789"/>
    <s v="NewAcct"/>
    <s v="DEBIT"/>
    <d v="2024-12-20T00:00:00"/>
    <s v="Online Transfer to  CHK ...9199 transaction#: 23033439024 12/20"/>
    <n v="-1361.43"/>
    <s v="ACCT_XFER"/>
    <n v="35868.11"/>
    <m/>
    <x v="0"/>
    <x v="0"/>
    <m/>
  </r>
  <r>
    <s v="Chase3789"/>
    <s v="NewAcct"/>
    <s v="DEBIT"/>
    <d v="2024-12-16T00:00:00"/>
    <s v="Online Transfer to  CHK ...9199 transaction#: 22990527176 12/16"/>
    <n v="-1361.43"/>
    <s v="ACCT_XFER"/>
    <n v="48258.53"/>
    <m/>
    <x v="0"/>
    <x v="0"/>
    <m/>
  </r>
  <r>
    <s v="Chase3789"/>
    <s v="NewAcct"/>
    <s v="DEBIT"/>
    <d v="2024-12-13T00:00:00"/>
    <s v="Online Transfer to  CHK ...9199 transaction#: 22958922176 12/13"/>
    <n v="-1361.43"/>
    <s v="ACCT_XFER"/>
    <n v="51919.96"/>
    <m/>
    <x v="0"/>
    <x v="0"/>
    <m/>
  </r>
  <r>
    <s v="Chase3789"/>
    <s v="NewAcct"/>
    <s v="DEBIT"/>
    <d v="2024-12-13T00:00:00"/>
    <s v="Online Transfer to  CHK ...9199 transaction#: 22957884497 12/13"/>
    <n v="-1361.43"/>
    <s v="ACCT_XFER"/>
    <n v="53281.39"/>
    <m/>
    <x v="0"/>
    <x v="0"/>
    <m/>
  </r>
  <r>
    <s v="Chase3789"/>
    <s v="NewAcct"/>
    <s v="DEBIT"/>
    <d v="2024-12-09T00:00:00"/>
    <s v="Online Transfer to  CHK ...9199 transaction#: 22909176092 12/09"/>
    <n v="-1361.43"/>
    <s v="ACCT_XFER"/>
    <n v="57102.73"/>
    <m/>
    <x v="0"/>
    <x v="0"/>
    <m/>
  </r>
  <r>
    <s v="Chase3789"/>
    <s v="NewAcct"/>
    <s v="DEBIT"/>
    <d v="2024-12-06T00:00:00"/>
    <s v="Online Transfer to  CHK ...9199 transaction#: 22871776405 12/06"/>
    <n v="-1361.43"/>
    <s v="ACCT_XFER"/>
    <n v="56567.15"/>
    <m/>
    <x v="0"/>
    <x v="0"/>
    <m/>
  </r>
  <r>
    <s v="Chase3789"/>
    <s v="NewAcct"/>
    <s v="DEBIT"/>
    <d v="2024-12-06T00:00:00"/>
    <s v="Online Transfer to  CHK ...9199 transaction#: 22947345602 12/06"/>
    <n v="-1361.43"/>
    <s v="ACCT_XFER"/>
    <n v="57928.58"/>
    <m/>
    <x v="0"/>
    <x v="0"/>
    <m/>
  </r>
  <r>
    <s v="Chase0117"/>
    <s v="OldAcct"/>
    <s v="DEBIT"/>
    <d v="2024-12-02T00:00:00"/>
    <s v="Online Transfer to  CHK ...9199 transaction#: 22829952204 12/02"/>
    <n v="-1361.43"/>
    <s v="ACCT_XFER"/>
    <n v="55602.01"/>
    <m/>
    <x v="0"/>
    <x v="0"/>
    <m/>
  </r>
  <r>
    <s v="Chase0117"/>
    <s v="OldAcct"/>
    <s v="DEBIT"/>
    <d v="2024-11-29T00:00:00"/>
    <s v="Online Transfer to  CHK ...9199 transaction#: 22798564657 11/29"/>
    <n v="-1361.43"/>
    <s v="ACCT_XFER"/>
    <n v="57486.33"/>
    <m/>
    <x v="0"/>
    <x v="0"/>
    <m/>
  </r>
  <r>
    <s v="Chase0117"/>
    <s v="OldAcct"/>
    <s v="DEBIT"/>
    <d v="2024-11-25T00:00:00"/>
    <s v="Online Transfer to  CHK ...9199 transaction#: 22756349632 11/25"/>
    <n v="-1361.43"/>
    <s v="ACCT_XFER"/>
    <n v="78328.47"/>
    <m/>
    <x v="0"/>
    <x v="0"/>
    <m/>
  </r>
  <r>
    <s v="Chase0117"/>
    <s v="OldAcct"/>
    <s v="DEBIT"/>
    <d v="2024-11-22T00:00:00"/>
    <s v="Online Transfer to  CHK ...9199 transaction#: 22778352525 11/22"/>
    <n v="-1361.43"/>
    <s v="ACCT_XFER"/>
    <n v="67235.95"/>
    <m/>
    <x v="0"/>
    <x v="0"/>
    <m/>
  </r>
  <r>
    <s v="Chase0117"/>
    <s v="OldAcct"/>
    <s v="DEBIT"/>
    <d v="2024-11-18T00:00:00"/>
    <s v="Online Transfer to  CHK ...9199 transaction#: 22650479535 11/18"/>
    <n v="-1361.43"/>
    <s v="ACCT_XFER"/>
    <n v="42062.97"/>
    <m/>
    <x v="0"/>
    <x v="0"/>
    <m/>
  </r>
  <r>
    <s v="Chase0117"/>
    <s v="OldAcct"/>
    <s v="DEBIT"/>
    <d v="2024-11-15T00:00:00"/>
    <s v="Online Transfer to  CHK ...9199 transaction#: 22701581178 11/15"/>
    <n v="-1361.43"/>
    <s v="ACCT_XFER"/>
    <n v="55656.6"/>
    <m/>
    <x v="0"/>
    <x v="0"/>
    <m/>
  </r>
  <r>
    <s v="Chase0117"/>
    <s v="OldAcct"/>
    <s v="DEBIT"/>
    <d v="2024-11-08T00:00:00"/>
    <s v="Online Transfer to  CHK ...9199 transaction#: 22632609136 11/08"/>
    <n v="-1361.43"/>
    <s v="ACCT_XFER"/>
    <n v="54145.04"/>
    <m/>
    <x v="0"/>
    <x v="0"/>
    <m/>
  </r>
  <r>
    <s v="Chase0117"/>
    <s v="OldAcct"/>
    <s v="DEBIT"/>
    <d v="2024-10-29T00:00:00"/>
    <s v="Online Transfer to CHK ...9199 transaction#: 22533266825 10/29"/>
    <n v="-1361.43"/>
    <s v="ACCT_XFER"/>
    <n v="19124.79"/>
    <m/>
    <x v="0"/>
    <x v="0"/>
    <m/>
  </r>
  <r>
    <s v="Chase0117"/>
    <s v="OldAcct"/>
    <s v="DEBIT"/>
    <d v="2024-10-21T00:00:00"/>
    <s v="Online Transfer to CHK ...9199 transaction#: 22451314651 10/21"/>
    <n v="-1361.43"/>
    <s v="ACCT_XFER"/>
    <n v="29360.67"/>
    <m/>
    <x v="0"/>
    <x v="0"/>
    <m/>
  </r>
  <r>
    <s v="Chase0117"/>
    <s v="OldAcct"/>
    <s v="DEBIT"/>
    <d v="2024-10-17T00:00:00"/>
    <s v="King David Gallery VT 212-7279700 NY         10/16"/>
    <n v="-1360.93"/>
    <s v="DEBIT_CARD"/>
    <n v="32565.37"/>
    <m/>
    <x v="0"/>
    <x v="1"/>
    <m/>
  </r>
  <r>
    <s v="Chase0117"/>
    <s v="OldAcct"/>
    <s v="DEBIT"/>
    <d v="2024-04-22T00:00:00"/>
    <s v="FSI*TD AUTO FINANCE 888-939-9876 MI          04/21"/>
    <n v="-1341.54"/>
    <s v="DEBIT_CARD"/>
    <n v="4355.33"/>
    <m/>
    <x v="0"/>
    <x v="6"/>
    <m/>
  </r>
  <r>
    <s v="Chase3789"/>
    <s v="NewAcct"/>
    <s v="DEBIT"/>
    <d v="2024-12-13T00:00:00"/>
    <s v="Zelle payment to Alfredo 23040850545"/>
    <n v="-1300"/>
    <s v="QUICKPAY_DEBIT"/>
    <n v="49619.96"/>
    <m/>
    <x v="0"/>
    <x v="4"/>
    <m/>
  </r>
  <r>
    <s v="Chase0117"/>
    <s v="OldAcct"/>
    <s v="DEBIT"/>
    <d v="2024-11-20T00:00:00"/>
    <s v="TERRA SUPPLY 718-965-9000 NY                 11/19"/>
    <n v="-1200"/>
    <s v="DEBIT_CARD"/>
    <n v="73890.39"/>
    <m/>
    <x v="0"/>
    <x v="1"/>
    <m/>
  </r>
  <r>
    <s v="Chase0117"/>
    <s v="OldAcct"/>
    <s v="DEBIT"/>
    <d v="2024-10-31T00:00:00"/>
    <s v="WITHDRAWAL 10/31"/>
    <n v="-1200"/>
    <s v="MISC_DEBIT"/>
    <n v="62234.64"/>
    <m/>
    <x v="0"/>
    <x v="0"/>
    <m/>
  </r>
  <r>
    <s v="Chase0117"/>
    <s v="OldAcct"/>
    <s v="DEBIT"/>
    <d v="2024-10-21T00:00:00"/>
    <s v="Online Transfer to CHK ...9199 transaction#: 22443048619 10/21"/>
    <n v="-1200"/>
    <s v="ACCT_XFER"/>
    <n v="31322.1"/>
    <m/>
    <x v="0"/>
    <x v="0"/>
    <m/>
  </r>
  <r>
    <s v="Chase0117"/>
    <s v="OldAcct"/>
    <s v="CHECK"/>
    <d v="2024-10-10T00:00:00"/>
    <s v="CHECK 703  "/>
    <n v="-1200"/>
    <s v="CHECK_PAID"/>
    <n v="11212.3"/>
    <n v="703"/>
    <x v="0"/>
    <x v="1"/>
    <m/>
  </r>
  <r>
    <s v="Chase0117"/>
    <s v="OldAcct"/>
    <s v="DEBIT"/>
    <d v="2024-10-04T00:00:00"/>
    <s v="Online Transfer to CHK ...9199 transaction#: 22275720837 10/04"/>
    <n v="-1200"/>
    <s v="ACCT_XFER"/>
    <n v="27370.14"/>
    <m/>
    <x v="0"/>
    <x v="0"/>
    <m/>
  </r>
  <r>
    <s v="Chase0117"/>
    <s v="OldAcct"/>
    <s v="DEBIT"/>
    <d v="2024-09-30T00:00:00"/>
    <s v="Online Transfer to CHK ...9199 transaction#: 22221931821 09/30"/>
    <n v="-1200"/>
    <s v="ACCT_XFER"/>
    <n v="40715.54"/>
    <m/>
    <x v="0"/>
    <x v="0"/>
    <m/>
  </r>
  <r>
    <s v="Chase0117"/>
    <s v="OldAcct"/>
    <s v="CHECK"/>
    <d v="2024-09-26T00:00:00"/>
    <s v="CHECK 996  "/>
    <n v="-1200"/>
    <s v="CHECK_PAID"/>
    <n v="39650.44"/>
    <n v="996"/>
    <x v="0"/>
    <x v="1"/>
    <m/>
  </r>
  <r>
    <s v="Chase0117"/>
    <s v="OldAcct"/>
    <s v="CHECK"/>
    <d v="2024-09-26T00:00:00"/>
    <s v="CHECK 995  "/>
    <n v="-1200"/>
    <s v="CHECK_PAID"/>
    <n v="40850.44"/>
    <n v="995"/>
    <x v="0"/>
    <x v="1"/>
    <m/>
  </r>
  <r>
    <s v="Chase0117"/>
    <s v="OldAcct"/>
    <s v="CHECK"/>
    <d v="2024-11-26T00:00:00"/>
    <s v="CHECK 710  "/>
    <n v="-1105.0899999999999"/>
    <s v="CHECK_PAID"/>
    <n v="75723.38"/>
    <n v="710"/>
    <x v="0"/>
    <x v="1"/>
    <m/>
  </r>
  <r>
    <s v="Chase3789"/>
    <s v="NewAcct"/>
    <s v="DEBIT"/>
    <d v="2024-12-19T00:00:00"/>
    <s v="ATM WITHDRAWAL                       004127  12/197104 WOOD"/>
    <n v="-1000"/>
    <s v="ATM"/>
    <n v="37517.53"/>
    <m/>
    <x v="0"/>
    <x v="0"/>
    <m/>
  </r>
  <r>
    <s v="Chase3789"/>
    <s v="NewAcct"/>
    <s v="DEBIT"/>
    <d v="2024-12-16T00:00:00"/>
    <s v="ATM WITHDRAWAL                       003652  12/167104 WOOD"/>
    <n v="-1000"/>
    <s v="ATM"/>
    <n v="47258.53"/>
    <m/>
    <x v="0"/>
    <x v="0"/>
    <m/>
  </r>
  <r>
    <s v="Chase3789"/>
    <s v="NewAcct"/>
    <s v="DEBIT"/>
    <d v="2024-12-13T00:00:00"/>
    <s v="ATM WITHDRAWAL                       008827  12/132245 31ST"/>
    <n v="-1000"/>
    <s v="ATM"/>
    <n v="50919.96"/>
    <m/>
    <x v="0"/>
    <x v="0"/>
    <m/>
  </r>
  <r>
    <s v="Chase0117"/>
    <s v="OldAcct"/>
    <s v="DEBIT"/>
    <d v="2024-11-25T00:00:00"/>
    <s v="ATM WITHDRAWAL                       001028  11/257104 WOOD"/>
    <n v="-1000"/>
    <s v="ATM"/>
    <n v="77328.47"/>
    <m/>
    <x v="0"/>
    <x v="0"/>
    <m/>
  </r>
  <r>
    <s v="Chase0117"/>
    <s v="OldAcct"/>
    <s v="DEBIT"/>
    <d v="2024-11-19T00:00:00"/>
    <s v="ATM WITHDRAWAL                       000651  11/192245 31ST"/>
    <n v="-1000"/>
    <s v="ATM"/>
    <n v="75090.39"/>
    <m/>
    <x v="0"/>
    <x v="0"/>
    <m/>
  </r>
  <r>
    <s v="Chase0117"/>
    <s v="OldAcct"/>
    <s v="DEBIT"/>
    <d v="2024-11-12T00:00:00"/>
    <s v="ATM WITHDRAWAL                       006693  11/112245 31ST"/>
    <n v="-1000"/>
    <s v="ATM"/>
    <n v="52276.04"/>
    <m/>
    <x v="0"/>
    <x v="0"/>
    <m/>
  </r>
  <r>
    <s v="Chase0117"/>
    <s v="OldAcct"/>
    <s v="DEBIT"/>
    <d v="2024-11-07T00:00:00"/>
    <s v="ATM WITHDRAWAL                       009165  11/073818 BROA"/>
    <n v="-1000"/>
    <s v="ATM"/>
    <n v="55509.46"/>
    <m/>
    <x v="0"/>
    <x v="0"/>
    <m/>
  </r>
  <r>
    <s v="Chase0117"/>
    <s v="OldAcct"/>
    <s v="DEBIT"/>
    <d v="2024-11-04T00:00:00"/>
    <s v="ATM WITHDRAWAL                       007079  11/022245 31ST"/>
    <n v="-1000"/>
    <s v="ATM"/>
    <n v="59160.66"/>
    <m/>
    <x v="0"/>
    <x v="0"/>
    <m/>
  </r>
  <r>
    <s v="Chase0117"/>
    <s v="OldAcct"/>
    <s v="DEBIT"/>
    <d v="2024-11-01T00:00:00"/>
    <s v="Online Transfer to CHK ...9199 transaction#: 22571058023 11/01"/>
    <n v="-1000"/>
    <s v="ACCT_XFER"/>
    <n v="63860.66"/>
    <m/>
    <x v="0"/>
    <x v="0"/>
    <m/>
  </r>
  <r>
    <s v="Chase0117"/>
    <s v="OldAcct"/>
    <s v="DEBIT"/>
    <d v="2024-10-15T00:00:00"/>
    <s v="ATM WITHDRAWAL                       000064  10/142245 31ST"/>
    <n v="-1000"/>
    <s v="ATM"/>
    <n v="35788.800000000003"/>
    <m/>
    <x v="0"/>
    <x v="0"/>
    <m/>
  </r>
  <r>
    <s v="Chase0117"/>
    <s v="OldAcct"/>
    <s v="DEBIT"/>
    <d v="2024-10-11T00:00:00"/>
    <s v="ATM WITHDRAWAL                       003215  10/11204 W 4TH"/>
    <n v="-1000"/>
    <s v="ATM"/>
    <n v="10212.299999999999"/>
    <m/>
    <x v="0"/>
    <x v="0"/>
    <m/>
  </r>
  <r>
    <s v="Chase0117"/>
    <s v="OldAcct"/>
    <s v="DEBIT"/>
    <d v="2024-10-10T00:00:00"/>
    <s v="ATM WITHDRAWAL                       002982  10/102245 31ST"/>
    <n v="-1000"/>
    <s v="ATM"/>
    <n v="12412.3"/>
    <m/>
    <x v="0"/>
    <x v="0"/>
    <m/>
  </r>
  <r>
    <s v="Chase0117"/>
    <s v="OldAcct"/>
    <s v="DEBIT"/>
    <d v="2024-10-04T00:00:00"/>
    <s v="ATM WITHDRAWAL                       007269  10/0410736 71S"/>
    <n v="-1000"/>
    <s v="ATM"/>
    <n v="29320.14"/>
    <m/>
    <x v="0"/>
    <x v="0"/>
    <m/>
  </r>
  <r>
    <s v="Chase0117"/>
    <s v="OldAcct"/>
    <s v="DEBIT"/>
    <d v="2024-10-03T00:00:00"/>
    <s v="Zelle payment to Flat Rate Junk 22260050031"/>
    <n v="-1000"/>
    <s v="QUICKPAY_DEBIT"/>
    <n v="30320.14"/>
    <m/>
    <x v="0"/>
    <x v="4"/>
    <m/>
  </r>
  <r>
    <s v="Chase0117"/>
    <s v="OldAcct"/>
    <s v="DEBIT"/>
    <d v="2024-09-16T00:00:00"/>
    <s v="Zelle payment to Mike Murray 22074695092"/>
    <n v="-1000"/>
    <s v="QUICKPAY_DEBIT"/>
    <n v="16379.69"/>
    <m/>
    <x v="0"/>
    <x v="4"/>
    <m/>
  </r>
  <r>
    <s v="Chase0117"/>
    <s v="OldAcct"/>
    <s v="DEBIT"/>
    <d v="2024-09-13T00:00:00"/>
    <s v="Zelle payment to Mike Murray 22046122814"/>
    <n v="-1000"/>
    <s v="QUICKPAY_DEBIT"/>
    <n v="17779.689999999999"/>
    <m/>
    <x v="0"/>
    <x v="4"/>
    <m/>
  </r>
  <r>
    <s v="Chase0117"/>
    <s v="OldAcct"/>
    <s v="DEBIT"/>
    <d v="2024-09-12T00:00:00"/>
    <s v="Zelle payment to Mike Murray 22029879476"/>
    <n v="-1000"/>
    <s v="QUICKPAY_DEBIT"/>
    <n v="18779.689999999999"/>
    <m/>
    <x v="0"/>
    <x v="4"/>
    <m/>
  </r>
  <r>
    <s v="Chase0117"/>
    <s v="OldAcct"/>
    <s v="DEBIT"/>
    <d v="2024-09-11T00:00:00"/>
    <s v="Zelle payment to Mike Murray 22020575964"/>
    <n v="-1000"/>
    <s v="QUICKPAY_DEBIT"/>
    <n v="19779.689999999999"/>
    <m/>
    <x v="0"/>
    <x v="4"/>
    <m/>
  </r>
  <r>
    <s v="Chase0117"/>
    <s v="OldAcct"/>
    <s v="DEBIT"/>
    <d v="2024-09-11T00:00:00"/>
    <s v="ATM WITHDRAWAL                       009958  09/113818 BROA"/>
    <n v="-1000"/>
    <s v="ATM"/>
    <n v="20779.689999999999"/>
    <m/>
    <x v="0"/>
    <x v="0"/>
    <m/>
  </r>
  <r>
    <s v="Chase0117"/>
    <s v="OldAcct"/>
    <s v="DEBIT"/>
    <d v="2024-08-28T00:00:00"/>
    <s v="Online Transfer to CHK ...9199 transaction#: 21870352826 08/28"/>
    <n v="-1000"/>
    <s v="ACCT_XFER"/>
    <n v="13054.69"/>
    <m/>
    <x v="0"/>
    <x v="0"/>
    <m/>
  </r>
  <r>
    <s v="Chase0117"/>
    <s v="OldAcct"/>
    <s v="DEBIT"/>
    <d v="2024-08-28T00:00:00"/>
    <s v="ATM WITHDRAWAL                       001019  08/282245 31ST"/>
    <n v="-1000"/>
    <s v="ATM"/>
    <n v="14054.69"/>
    <m/>
    <x v="0"/>
    <x v="0"/>
    <m/>
  </r>
  <r>
    <s v="Chase0117"/>
    <s v="OldAcct"/>
    <s v="DEBIT"/>
    <d v="2024-07-26T00:00:00"/>
    <s v="ATM WITHDRAWAL                       001113  07/262245 31ST"/>
    <n v="-1000"/>
    <s v="ATM"/>
    <n v="5880.33"/>
    <m/>
    <x v="0"/>
    <x v="0"/>
    <m/>
  </r>
  <r>
    <s v="Chase0117"/>
    <s v="OldAcct"/>
    <s v="DEBIT"/>
    <d v="2024-09-11T00:00:00"/>
    <s v="ORIG CO NAME:NYS DTF CT             ORIG ID:G146013200 DESC DATE:       CO ENTRY DESCR:Tax PaymntSEC:CCD    TRACE#:091000018166496 EED:240911   IND ID:000000117907759              IND NAME:CL2401181538 TRN: 2558166496TC"/>
    <n v="-950"/>
    <s v="ACH_DEBIT"/>
    <n v="21779.69"/>
    <m/>
    <x v="0"/>
    <x v="5"/>
    <m/>
  </r>
  <r>
    <s v="Chase0117"/>
    <s v="OldAcct"/>
    <s v="DEBIT"/>
    <d v="2024-08-26T00:00:00"/>
    <s v="ATM WITHDRAWAL                       006859  08/261003 LEXI"/>
    <n v="-900"/>
    <s v="ATM"/>
    <n v="17054.689999999999"/>
    <m/>
    <x v="0"/>
    <x v="0"/>
    <m/>
  </r>
  <r>
    <s v="Chase0117"/>
    <s v="OldAcct"/>
    <s v="CHECK"/>
    <d v="2024-04-19T00:00:00"/>
    <s v="CHECK 787  "/>
    <n v="-876.44"/>
    <s v="CHECK_PAID"/>
    <n v="5696.87"/>
    <n v="787"/>
    <x v="0"/>
    <x v="1"/>
    <m/>
  </r>
  <r>
    <s v="Chase0117"/>
    <s v="OldAcct"/>
    <s v="DEBIT"/>
    <d v="2024-11-15T00:00:00"/>
    <s v="ATM WITHDRAWAL                       008386  11/152245 31ST"/>
    <n v="-800"/>
    <s v="ATM"/>
    <n v="43699.42"/>
    <m/>
    <x v="0"/>
    <x v="0"/>
    <m/>
  </r>
  <r>
    <s v="Chase0117"/>
    <s v="OldAcct"/>
    <s v="DEBIT"/>
    <d v="2024-11-08T00:00:00"/>
    <s v="ATM WITHDRAWAL                       004843  11/082245 31ST"/>
    <n v="-800"/>
    <s v="ATM"/>
    <n v="53345.04"/>
    <m/>
    <x v="0"/>
    <x v="0"/>
    <m/>
  </r>
  <r>
    <s v="Chase0117"/>
    <s v="OldAcct"/>
    <s v="DEBIT"/>
    <d v="2024-09-16T00:00:00"/>
    <s v="ATM WITHDRAWAL                       001086  09/16204 W 4TH"/>
    <n v="-800"/>
    <s v="ATM"/>
    <n v="15579.69"/>
    <m/>
    <x v="0"/>
    <x v="0"/>
    <m/>
  </r>
  <r>
    <s v="Chase0117"/>
    <s v="OldAcct"/>
    <s v="DEBIT"/>
    <d v="2024-04-08T00:00:00"/>
    <s v="ORIG CO NAME:AMERICAN EXPRESS       ORIG ID:2005032111 DESC DATE:240408 CO ENTRY DESCR:ACH PMT   SEC:CCD    TRACE#:021000025417307 EED:240408   IND ID:M8178                        IND NAME:colin devlin                                                                                                 ER AM TRN: 0995417307TC"/>
    <n v="-800"/>
    <s v="ACH_DEBIT"/>
    <n v="14061.9"/>
    <m/>
    <x v="0"/>
    <x v="0"/>
    <s v="Credit Card Payment"/>
  </r>
  <r>
    <s v="Chase0117"/>
    <s v="OldAcct"/>
    <s v="DEBIT"/>
    <d v="2024-10-04T00:00:00"/>
    <s v="Zelle payment to Flat Rate Junk 22274783540"/>
    <n v="-750"/>
    <s v="QUICKPAY_DEBIT"/>
    <n v="28570.14"/>
    <m/>
    <x v="0"/>
    <x v="4"/>
    <m/>
  </r>
  <r>
    <s v="Chase0117"/>
    <s v="OldAcct"/>
    <s v="DEBIT"/>
    <d v="2024-04-15T00:00:00"/>
    <s v="ATM WITHDRAWAL                       003650  04/136602 GRAN"/>
    <n v="-680"/>
    <s v="ATM"/>
    <n v="10521.9"/>
    <m/>
    <x v="0"/>
    <x v="0"/>
    <m/>
  </r>
  <r>
    <s v="Chase0117"/>
    <s v="OldAcct"/>
    <s v="DEBIT"/>
    <d v="2024-05-06T00:00:00"/>
    <s v="ATM WITHDRAWAL                       005193  05/043818 BROA"/>
    <n v="-660"/>
    <s v="ATM"/>
    <n v="13968.33"/>
    <m/>
    <x v="0"/>
    <x v="0"/>
    <m/>
  </r>
  <r>
    <s v="Chase3789"/>
    <s v="NewAcct"/>
    <s v="DEBIT"/>
    <d v="2024-12-23T00:00:00"/>
    <s v="ORIG CO NAME:TD AUTO FINANCE        ORIG ID:8202614244 DESC DATE:241222 CO ENTRY DESCR:LOAN PYMT SEC:WEB    TRACE#:211274457130490 EED:241223   IND ID:002901103710435              IND NAME:DEVLIN INTERIORS INC TRN: 3587130490TC"/>
    <n v="-654.41"/>
    <s v="ACH_DEBIT"/>
    <n v="33852.269999999997"/>
    <m/>
    <x v="0"/>
    <x v="6"/>
    <m/>
  </r>
  <r>
    <s v="Chase0117"/>
    <s v="OldAcct"/>
    <s v="DEBIT"/>
    <d v="2024-11-22T00:00:00"/>
    <s v="FSI*TD AUTO FINANCE 888-939-9876 MI          11/21"/>
    <n v="-654.41"/>
    <s v="DEBIT_CARD"/>
    <n v="72597.38"/>
    <m/>
    <x v="0"/>
    <x v="6"/>
    <m/>
  </r>
  <r>
    <s v="Chase0117"/>
    <s v="OldAcct"/>
    <s v="DEBIT"/>
    <d v="2024-10-22T00:00:00"/>
    <s v="FSI*TD AUTO FINANCE 888-939-9876 MI          10/21"/>
    <n v="-654.41"/>
    <s v="DEBIT_CARD"/>
    <n v="23893.4"/>
    <m/>
    <x v="0"/>
    <x v="6"/>
    <m/>
  </r>
  <r>
    <s v="Chase0117"/>
    <s v="OldAcct"/>
    <s v="DEBIT"/>
    <d v="2024-09-24T00:00:00"/>
    <s v="ORIG CO NAME:TD AUTO FINANCE        ORIG ID:7529150911 DESC DATE:240923 CO ENTRY DESCR:BILL PAY  SEC:CCD    TRACE#:031101118048719 EED:240924   IND ID:20369075261                  IND NAME:COLIN DEVLIN TRN: 2688048719TC"/>
    <n v="-654.41"/>
    <s v="ACH_DEBIT"/>
    <n v="-1113.83"/>
    <m/>
    <x v="0"/>
    <x v="6"/>
    <m/>
  </r>
  <r>
    <s v="Chase0117"/>
    <s v="OldAcct"/>
    <s v="DEBIT"/>
    <d v="2024-08-21T00:00:00"/>
    <s v="FSI*TD AUTO FINANCE 888-939-9876 MI          08/20"/>
    <n v="-654.41"/>
    <s v="DEBIT_CARD"/>
    <n v="17995.28"/>
    <m/>
    <x v="0"/>
    <x v="6"/>
    <m/>
  </r>
  <r>
    <s v="Chase0117"/>
    <s v="OldAcct"/>
    <s v="DEBIT"/>
    <d v="2024-07-23T00:00:00"/>
    <s v="FSI*TD AUTO FINANCE 888-939-9876 MI          07/22"/>
    <n v="-654.41"/>
    <s v="DEBIT_CARD"/>
    <n v="10968.92"/>
    <m/>
    <x v="0"/>
    <x v="6"/>
    <m/>
  </r>
  <r>
    <s v="Chase0117"/>
    <s v="OldAcct"/>
    <s v="DEBIT"/>
    <d v="2024-06-21T00:00:00"/>
    <s v="FSI*TD AUTO FINANCE 888-939-9876 MI          06/20"/>
    <n v="-654.41"/>
    <s v="DEBIT_CARD"/>
    <n v="7165.92"/>
    <m/>
    <x v="0"/>
    <x v="6"/>
    <m/>
  </r>
  <r>
    <s v="Chase0117"/>
    <s v="OldAcct"/>
    <s v="DEBIT"/>
    <d v="2024-05-21T00:00:00"/>
    <s v="FSI*TD AUTO FINANCE 888-939-9876 MI          05/20"/>
    <n v="-654.41"/>
    <s v="DEBIT_CARD"/>
    <n v="4116.33"/>
    <m/>
    <x v="0"/>
    <x v="6"/>
    <m/>
  </r>
  <r>
    <s v="Chase0117"/>
    <s v="OldAcct"/>
    <s v="DEBIT"/>
    <d v="2024-02-21T00:00:00"/>
    <s v="FSI*TD AUTO FINANCE 888-939-9876 MI          02/20"/>
    <n v="-654.41"/>
    <s v="DEBIT_CARD"/>
    <n v="7619.15"/>
    <m/>
    <x v="0"/>
    <x v="6"/>
    <m/>
  </r>
  <r>
    <s v="Chase0117"/>
    <s v="OldAcct"/>
    <s v="DEBIT"/>
    <d v="2024-01-24T00:00:00"/>
    <s v="FSI*TD AUTO FINANCE 888-939-9876 MI          01/23"/>
    <n v="-654.41"/>
    <s v="DEBIT_CARD"/>
    <n v="18818.47"/>
    <m/>
    <x v="0"/>
    <x v="6"/>
    <m/>
  </r>
  <r>
    <s v="Chase3789"/>
    <s v="NewAcct"/>
    <s v="DEBIT"/>
    <d v="2024-12-11T00:00:00"/>
    <s v="ORIG CO NAME:CHS Payrol0040Qd       ORIG ID:9IF0517397 DESC DATE:241210 CO ENTRY DESCR:Tax Impou SEC:CCD    TRACE#:091311175918403 EED:241211   IND ID:84-2024147                   IND NAME:Devlin Interiors Inc                                                                                         TAX IMPOUND MAN TRN: 3465918403TC"/>
    <n v="-625.47"/>
    <s v="ACH_DEBIT"/>
    <n v="55850.06"/>
    <m/>
    <x v="0"/>
    <x v="6"/>
    <m/>
  </r>
  <r>
    <s v="Chase0117"/>
    <s v="OldAcct"/>
    <s v="DEBIT"/>
    <d v="2024-08-02T00:00:00"/>
    <s v="STATE FARM  INSURANCE 800-956-6310 IL        08/01"/>
    <n v="-625.37"/>
    <s v="DEBIT_CARD"/>
    <n v="3644.96"/>
    <m/>
    <x v="0"/>
    <x v="2"/>
    <m/>
  </r>
  <r>
    <s v="Chase0117"/>
    <s v="OldAcct"/>
    <s v="DEBIT"/>
    <d v="2024-12-02T00:00:00"/>
    <s v="STATE FARM  INSURANCE 800-956-6310 IL        11/29"/>
    <n v="-622.89"/>
    <s v="DEBIT_CARD"/>
    <n v="56963.44"/>
    <m/>
    <x v="0"/>
    <x v="2"/>
    <m/>
  </r>
  <r>
    <s v="Chase0117"/>
    <s v="OldAcct"/>
    <s v="DEBIT"/>
    <d v="2024-10-22T00:00:00"/>
    <s v="STATE FARM  INSURANCE 800-956-6310 IL        10/21"/>
    <n v="-622.89"/>
    <s v="DEBIT_CARD"/>
    <n v="23270.51"/>
    <m/>
    <x v="0"/>
    <x v="2"/>
    <m/>
  </r>
  <r>
    <s v="Chase0117"/>
    <s v="OldAcct"/>
    <s v="DEBIT"/>
    <d v="2024-11-07T00:00:00"/>
    <s v="ORIG CO NAME:CHS payrol  6760       ORIG ID:9IB0517397 DESC DATE:241107 CO ENTRY DESCR:TAX IMPOUNSEC:CCD    TRACE#:091311175932590 EED:241107   IND ID:842024147                    IND NAME:Devlin Interiors Inc                                                                                         TAX IMPOUND TRN: 3125932590TC"/>
    <n v="-621.16"/>
    <s v="ACH_DEBIT"/>
    <n v="56579.71"/>
    <m/>
    <x v="0"/>
    <x v="7"/>
    <m/>
  </r>
  <r>
    <s v="Chase0117"/>
    <s v="OldAcct"/>
    <s v="DEBIT"/>
    <d v="2024-10-30T00:00:00"/>
    <s v="ORIG CO NAME:CHS payrol  6760       ORIG ID:9IB0517397 DESC DATE:241030 CO ENTRY DESCR:TAX IMPOUNSEC:CCD    TRACE#:091311171986066 EED:241030   IND ID:842024147                    IND NAME:Devlin Interiors Inc                                                                                         TAX IMPOUND TRN: 3041986066TC"/>
    <n v="-621.16"/>
    <s v="ACH_DEBIT"/>
    <n v="18503.63"/>
    <m/>
    <x v="0"/>
    <x v="7"/>
    <m/>
  </r>
  <r>
    <s v="Chase0117"/>
    <s v="OldAcct"/>
    <s v="DEBIT"/>
    <d v="2024-10-17T00:00:00"/>
    <s v="ORIG CO NAME:CHS payrol  6760       ORIG ID:9IB0517397 DESC DATE:241017 CO ENTRY DESCR:TAX IMPOUNSEC:CCD    TRACE#:091311170771640 EED:241017   IND ID:842024147                    IND NAME:Devlin Interiors Inc                                                                                         TAX IMPOUND TRN: 2910771640TC"/>
    <n v="-621.16"/>
    <s v="ACH_DEBIT"/>
    <n v="31944.21"/>
    <m/>
    <x v="0"/>
    <x v="7"/>
    <m/>
  </r>
  <r>
    <s v="Chase0117"/>
    <s v="OldAcct"/>
    <s v="DEBIT"/>
    <d v="2024-09-30T00:00:00"/>
    <s v="STATE FARM  INSURANCE 800-956-6310 IL        09/27"/>
    <n v="-620.41"/>
    <s v="DEBIT_CARD"/>
    <n v="41959.54"/>
    <m/>
    <x v="0"/>
    <x v="2"/>
    <m/>
  </r>
  <r>
    <s v="Chase0117"/>
    <s v="OldAcct"/>
    <s v="DEBIT"/>
    <d v="2024-11-14T00:00:00"/>
    <s v="ORIG CO NAME:CHS payrol  6760       ORIG ID:9IB0517397 DESC DATE:241114 CO ENTRY DESCR:TAX IMPOUNSEC:CCD    TRACE#:091311172380911 EED:241114   IND ID:842024147                    IND NAME:Devlin Interiors Inc                                                                                         TAX IMPOUND TRN: 3192380911TC"/>
    <n v="-612.76"/>
    <s v="ACH_DEBIT"/>
    <n v="57458.28"/>
    <m/>
    <x v="0"/>
    <x v="7"/>
    <m/>
  </r>
  <r>
    <s v="Chase0117"/>
    <s v="OldAcct"/>
    <s v="DEBIT"/>
    <d v="2024-11-29T00:00:00"/>
    <s v="ORIG CO NAME:CHS payrol  6760       ORIG ID:9IB0517397 DESC DATE:241129 CO ENTRY DESCR:TAX IMPOUNSEC:CCD    TRACE#:091311176597130 EED:241129   IND ID:842024147                    IND NAME:Devlin Interiors Inc                                                                                         TAX IMPOUND TRN: 3346597130TC"/>
    <n v="-610.36"/>
    <s v="ACH_DEBIT"/>
    <n v="58868.01"/>
    <m/>
    <x v="0"/>
    <x v="7"/>
    <m/>
  </r>
  <r>
    <s v="Chase0117"/>
    <s v="OldAcct"/>
    <s v="DEBIT"/>
    <d v="2024-11-21T00:00:00"/>
    <s v="ORIG CO NAME:CHS payrol  6760       ORIG ID:9IB0517397 DESC DATE:241121 CO ENTRY DESCR:TAX IMPOUNSEC:CCD    TRACE#:091311173717548 EED:241121   IND ID:842024147                    IND NAME:Devlin Interiors Inc                                                                                         TAX IMPOUND TRN: 3263717548TC"/>
    <n v="-610.36"/>
    <s v="ACH_DEBIT"/>
    <n v="73272.039999999994"/>
    <m/>
    <x v="0"/>
    <x v="7"/>
    <m/>
  </r>
  <r>
    <s v="Chase0117"/>
    <s v="OldAcct"/>
    <s v="DEBIT"/>
    <d v="2024-11-18T00:00:00"/>
    <s v="ATM WITHDRAWAL                       002883  11/162245 31ST"/>
    <n v="-600"/>
    <s v="ATM"/>
    <n v="43424.4"/>
    <m/>
    <x v="0"/>
    <x v="0"/>
    <m/>
  </r>
  <r>
    <s v="Chase0117"/>
    <s v="OldAcct"/>
    <s v="DEBIT"/>
    <d v="2024-10-21T00:00:00"/>
    <s v="Zelle payment to Ramon Update Systems JPM99appzggf"/>
    <n v="-600"/>
    <s v="CHASE_TO_PARTNERFI"/>
    <n v="30722.1"/>
    <m/>
    <x v="0"/>
    <x v="4"/>
    <m/>
  </r>
  <r>
    <s v="Chase0117"/>
    <s v="OldAcct"/>
    <s v="DEBIT"/>
    <d v="2024-03-29T00:00:00"/>
    <s v="Online Transfer to CHK ...9199 transaction#: 20304167473 03/29"/>
    <n v="-600"/>
    <s v="ACCT_XFER"/>
    <n v="10242.9"/>
    <m/>
    <x v="0"/>
    <x v="0"/>
    <m/>
  </r>
  <r>
    <s v="Chase3789"/>
    <s v="NewAcct"/>
    <s v="DEBIT"/>
    <d v="2024-12-11T00:00:00"/>
    <s v="ORIG CO NAME:NYS DTF BILL PYT       ORIG ID:E146013200 DESC DATE:       CO ENTRY DESCR:Tax PaymntSEC:CCD    TRACE#:091000014940679 EED:241211   IND ID:000000121035881              IND NAME:M62193504101224 TRN: 3464940679TC"/>
    <n v="-597.20000000000005"/>
    <s v="ACH_DEBIT"/>
    <n v="56475.53"/>
    <m/>
    <x v="0"/>
    <x v="5"/>
    <m/>
  </r>
  <r>
    <s v="Chase3789"/>
    <s v="NewAcct"/>
    <s v="DEBIT"/>
    <d v="2024-12-19T00:00:00"/>
    <s v="ORIG CO NAME:CHS payrol  6760       ORIG ID:9IB0517397 DESC DATE:241219 CO ENTRY DESCR:TAX IMPOUNSEC:CCD    TRACE#:091311179810669 EED:241219   IND ID:842024147                    IND NAME:Devlin Interiors Inc                                                                                         TAX IMPOUND TRN: 3549810669TC"/>
    <n v="-568.96"/>
    <s v="ACH_DEBIT"/>
    <n v="38537.78"/>
    <m/>
    <x v="0"/>
    <x v="7"/>
    <m/>
  </r>
  <r>
    <s v="Chase3789"/>
    <s v="NewAcct"/>
    <s v="DEBIT"/>
    <d v="2024-12-12T00:00:00"/>
    <s v="ORIG CO NAME:CHS payrol  6760       ORIG ID:9IB0517397 DESC DATE:241212 CO ENTRY DESCR:TAX IMPOUNSEC:CCD    TRACE#:091311173490771 EED:241212   IND ID:842024147                    IND NAME:Devlin Interiors Inc                                                                                         TAX IMPOUND TRN: 3473490771TC"/>
    <n v="-568.96"/>
    <s v="ACH_DEBIT"/>
    <n v="55185.85"/>
    <m/>
    <x v="0"/>
    <x v="7"/>
    <m/>
  </r>
  <r>
    <s v="Chase0117"/>
    <s v="OldAcct"/>
    <s v="DEBIT"/>
    <d v="2024-04-09T00:00:00"/>
    <s v="ATM WITHDRAWAL                       005049  04/096602 GRAN"/>
    <n v="-540"/>
    <s v="ATM"/>
    <n v="12021.9"/>
    <m/>
    <x v="0"/>
    <x v="0"/>
    <m/>
  </r>
  <r>
    <s v="Chase0117"/>
    <s v="OldAcct"/>
    <s v="DEBIT"/>
    <d v="2024-10-15T00:00:00"/>
    <s v="Zelle payment to Jamie Update System JPM99apavgyl"/>
    <n v="-525"/>
    <s v="CHASE_TO_PARTNERFI"/>
    <n v="37238.800000000003"/>
    <m/>
    <x v="0"/>
    <x v="4"/>
    <m/>
  </r>
  <r>
    <s v="Chase0117"/>
    <s v="OldAcct"/>
    <s v="DEBIT"/>
    <d v="2024-12-02T00:00:00"/>
    <s v="ORIG CO NAME:AMERICAN EXPRESS       ORIG ID:9493560001 DESC DATE:241202 CO ENTRY DESCR:ACH PMT   SEC:CCD    TRACE#:021000024567003 EED:241202   IND ID:A8746                        IND NAME:colin devlin                                                                                                 AM TRN: 3374567003TC"/>
    <n v="-500"/>
    <s v="ACH_DEBIT"/>
    <n v="55102.01"/>
    <m/>
    <x v="0"/>
    <x v="0"/>
    <s v="Credit Card Payment"/>
  </r>
  <r>
    <s v="Chase0117"/>
    <s v="OldAcct"/>
    <s v="DEBIT"/>
    <d v="2024-11-25T00:00:00"/>
    <s v="ORIG CO NAME:AMERICAN EXPRESS       ORIG ID:9493560001 DESC DATE:241125 CO ENTRY DESCR:ACH PMT   SEC:CCD    TRACE#:021000028891615 EED:241125   IND ID:A0116                        IND NAME:colin devlin                                                                                                 AM TRN: 3308891615TC"/>
    <n v="-500"/>
    <s v="ACH_DEBIT"/>
    <n v="76828.47"/>
    <m/>
    <x v="0"/>
    <x v="0"/>
    <s v="Credit Card Payment"/>
  </r>
  <r>
    <s v="Chase0117"/>
    <s v="OldAcct"/>
    <s v="DEBIT"/>
    <d v="2024-11-18T00:00:00"/>
    <s v="ORIG CO NAME:AMERICAN EXPRESS       ORIG ID:9493560001 DESC DATE:241118 CO ENTRY DESCR:ACH PMT   SEC:CCD    TRACE#:021000028736148 EED:241118   IND ID:A0192                        IND NAME:colin devlin                                                                                                 AM TRN: 3238736148TC"/>
    <n v="-500"/>
    <s v="ACH_DEBIT"/>
    <n v="37474.379999999997"/>
    <m/>
    <x v="0"/>
    <x v="0"/>
    <s v="Credit Card Payment"/>
  </r>
  <r>
    <s v="Chase0117"/>
    <s v="OldAcct"/>
    <s v="DEBIT"/>
    <d v="2024-11-12T00:00:00"/>
    <s v="ORIG CO NAME:AMERICAN EXPRESS       ORIG ID:9493560001 DESC DATE:241112 CO ENTRY DESCR:ACH PMT   SEC:CCD    TRACE#:021000029005296 EED:241112   IND ID:A1620                        IND NAME:colin devlin                                                                                                 AM TRN: 3179005296TC"/>
    <n v="-500"/>
    <s v="ACH_DEBIT"/>
    <n v="51776.04"/>
    <m/>
    <x v="0"/>
    <x v="0"/>
    <s v="Credit Card Payment"/>
  </r>
  <r>
    <s v="Chase0117"/>
    <s v="OldAcct"/>
    <s v="DEBIT"/>
    <d v="2024-11-04T00:00:00"/>
    <s v="ORIG CO NAME:AMERICAN EXPRESS       ORIG ID:9493560001 DESC DATE:241104 CO ENTRY DESCR:ACH PMT   SEC:CCD    TRACE#:021000024082519 EED:241104   IND ID:A7296                        IND NAME:colin devlin                                                                                                 AM TRN: 3094082519TC"/>
    <n v="-500"/>
    <s v="ACH_DEBIT"/>
    <n v="56200.87"/>
    <m/>
    <x v="0"/>
    <x v="0"/>
    <s v="Credit Card Payment"/>
  </r>
  <r>
    <s v="Chase0117"/>
    <s v="OldAcct"/>
    <s v="DEBIT"/>
    <d v="2024-10-28T00:00:00"/>
    <s v="ORIG CO NAME:AMERICAN EXPRESS       ORIG ID:9493560001 DESC DATE:241028 CO ENTRY DESCR:ACH PMT   SEC:CCD    TRACE#:021000028796579 EED:241028   IND ID:A0186                        IND NAME:colin devlin                                                                                                 AM TRN: 3028796579TC"/>
    <n v="-500"/>
    <s v="ACH_DEBIT"/>
    <n v="20486.22"/>
    <m/>
    <x v="0"/>
    <x v="0"/>
    <s v="Credit Card Payment"/>
  </r>
  <r>
    <s v="Chase0117"/>
    <s v="OldAcct"/>
    <s v="DEBIT"/>
    <d v="2024-10-21T00:00:00"/>
    <s v="ORIG CO NAME:AMERICAN EXPRESS       ORIG ID:9493560001 DESC DATE:241021 CO ENTRY DESCR:ACH PMT   SEC:CCD    TRACE#:021000023780581 EED:241021   IND ID:A5100                        IND NAME:colin devlin                                                                                                 AM TRN: 2953780581TC"/>
    <n v="-500"/>
    <s v="ACH_DEBIT"/>
    <n v="24772.080000000002"/>
    <m/>
    <x v="0"/>
    <x v="0"/>
    <s v="Credit Card Payment"/>
  </r>
  <r>
    <s v="Chase0117"/>
    <s v="OldAcct"/>
    <s v="DEBIT"/>
    <d v="2024-10-15T00:00:00"/>
    <s v="ORIG CO NAME:AMERICAN EXPRESS       ORIG ID:9493560001 DESC DATE:241015 CO ENTRY DESCR:ACH PMT   SEC:CCD    TRACE#:021000027009018 EED:241015   IND ID:A3624                        IND NAME:colin devlin                                                                                                 AM TRN: 2897009018TC"/>
    <n v="-500"/>
    <s v="ACH_DEBIT"/>
    <n v="35288.800000000003"/>
    <m/>
    <x v="0"/>
    <x v="0"/>
    <s v="Credit Card Payment"/>
  </r>
  <r>
    <s v="Chase0117"/>
    <s v="OldAcct"/>
    <s v="DEBIT"/>
    <d v="2024-10-07T00:00:00"/>
    <s v="ORIG CO NAME:AMERICAN EXPRESS       ORIG ID:9493560001 DESC DATE:241007 CO ENTRY DESCR:ACH PMT   SEC:CCD    TRACE#:021000026327615 EED:241007   IND ID:A4454                        IND NAME:colin devlin                                                                                                 AM TRN: 2816327615TC"/>
    <n v="-500"/>
    <s v="ACH_DEBIT"/>
    <n v="26870.14"/>
    <m/>
    <x v="0"/>
    <x v="0"/>
    <s v="Credit Card Payment"/>
  </r>
  <r>
    <s v="Chase0117"/>
    <s v="OldAcct"/>
    <s v="DEBIT"/>
    <d v="2024-09-30T00:00:00"/>
    <s v="ORIG CO NAME:AMERICAN EXPRESS       ORIG ID:9493560001 DESC DATE:240930 CO ENTRY DESCR:ACH PMT   SEC:CCD    TRACE#:021000025702320 EED:240930   IND ID:A4694                        IND NAME:colin devlin                                                                                                 AM TRN: 2745702320TC"/>
    <n v="-500"/>
    <s v="ACH_DEBIT"/>
    <n v="40215.54"/>
    <m/>
    <x v="0"/>
    <x v="0"/>
    <s v="Credit Card Payment"/>
  </r>
  <r>
    <s v="Chase0117"/>
    <s v="OldAcct"/>
    <s v="DEBIT"/>
    <d v="2024-09-23T00:00:00"/>
    <s v="ORIG CO NAME:AMERICAN EXPRESS       ORIG ID:9493560001 DESC DATE:240923 CO ENTRY DESCR:ACH PMT   SEC:CCD    TRACE#:021000028805521 EED:240923   IND ID:A9902                        IND NAME:colin devlin                                                                                                 AM TRN: 2678805521TC"/>
    <n v="-500"/>
    <s v="ACH_DEBIT"/>
    <n v="-459.42"/>
    <m/>
    <x v="0"/>
    <x v="0"/>
    <s v="Credit Card Payment"/>
  </r>
  <r>
    <s v="Chase0117"/>
    <s v="OldAcct"/>
    <s v="DEBIT"/>
    <d v="2024-09-16T00:00:00"/>
    <s v="ORIG CO NAME:AMERICAN EXPRESS       ORIG ID:9493560001 DESC DATE:240916 CO ENTRY DESCR:ACH PMT   SEC:CCD    TRACE#:021000020628661 EED:240916   IND ID:A5068                        IND NAME:colin devlin                                                                                                 AM TRN: 2600628661TC"/>
    <n v="-500"/>
    <s v="ACH_DEBIT"/>
    <n v="5908.96"/>
    <m/>
    <x v="0"/>
    <x v="0"/>
    <s v="Credit Card Payment"/>
  </r>
  <r>
    <s v="Chase0117"/>
    <s v="OldAcct"/>
    <s v="DEBIT"/>
    <d v="2024-09-03T00:00:00"/>
    <s v="ORIG CO NAME:AMERICAN EXPRESS       ORIG ID:9493560001 DESC DATE:240903 CO ENTRY DESCR:ACH PMT   SEC:CCD    TRACE#:021000025644036 EED:240903   IND ID:A2936                        IND NAME:colin devlin                                                                                                 AM TRN: 2475644036TC"/>
    <n v="-500"/>
    <s v="ACH_DEBIT"/>
    <n v="11994.69"/>
    <m/>
    <x v="0"/>
    <x v="0"/>
    <s v="Credit Card Payment"/>
  </r>
  <r>
    <s v="Chase0117"/>
    <s v="OldAcct"/>
    <s v="DEBIT"/>
    <d v="2024-08-26T00:00:00"/>
    <s v="ORIG CO NAME:AMERICAN EXPRESS       ORIG ID:9493560001 DESC DATE:240826 CO ENTRY DESCR:ACH PMT   SEC:CCD    TRACE#:021000026886694 EED:240826   IND ID:A5818                        IND NAME:colin devlin                                                                                                 AM TRN: 2396886694TC"/>
    <n v="-500"/>
    <s v="ACH_DEBIT"/>
    <n v="16554.689999999999"/>
    <m/>
    <x v="0"/>
    <x v="0"/>
    <s v="Credit Card Payment"/>
  </r>
  <r>
    <s v="Chase0117"/>
    <s v="OldAcct"/>
    <s v="DEBIT"/>
    <d v="2024-08-26T00:00:00"/>
    <s v="Online Transfer to CHK ...9199 transaction#: 21845970277 08/26"/>
    <n v="-500"/>
    <s v="ACCT_XFER"/>
    <n v="17954.689999999999"/>
    <m/>
    <x v="0"/>
    <x v="0"/>
    <m/>
  </r>
  <r>
    <s v="Chase0117"/>
    <s v="OldAcct"/>
    <s v="DEBIT"/>
    <d v="2024-08-19T00:00:00"/>
    <s v="ORIG CO NAME:AMERICAN EXPRESS       ORIG ID:9493560001 DESC DATE:240819 CO ENTRY DESCR:ACH PMT   SEC:CCD    TRACE#:021000024150761 EED:240819   IND ID:A8882                        IND NAME:colin devlin                                                                                                 AM TRN: 2324150761TC"/>
    <n v="-500"/>
    <s v="ACH_DEBIT"/>
    <n v="10681.96"/>
    <m/>
    <x v="0"/>
    <x v="0"/>
    <s v="Credit Card Payment"/>
  </r>
  <r>
    <s v="Chase0117"/>
    <s v="OldAcct"/>
    <s v="DEBIT"/>
    <d v="2024-08-12T00:00:00"/>
    <s v="ORIG CO NAME:AMERICAN EXPRESS       ORIG ID:9493560001 DESC DATE:240812 CO ENTRY DESCR:ACH PMT   SEC:CCD    TRACE#:021000025473220 EED:240812   IND ID:A2846                        IND NAME:colin devlin                                                                                                 AM TRN: 2255473220TC"/>
    <n v="-500"/>
    <s v="ACH_DEBIT"/>
    <n v="3081.96"/>
    <m/>
    <x v="0"/>
    <x v="0"/>
    <s v="Credit Card Payment"/>
  </r>
  <r>
    <s v="Chase0117"/>
    <s v="OldAcct"/>
    <s v="DEBIT"/>
    <d v="2024-08-05T00:00:00"/>
    <s v="ORIG CO NAME:AMERICAN EXPRESS       ORIG ID:9493560001 DESC DATE:240805 CO ENTRY DESCR:ACH PMT   SEC:CCD    TRACE#:021000025999659 EED:240805   IND ID:A4180                        IND NAME:colin devlin                                                                                                 AM TRN: 2185999659TC"/>
    <n v="-500"/>
    <s v="ACH_DEBIT"/>
    <n v="3631.96"/>
    <m/>
    <x v="0"/>
    <x v="0"/>
    <s v="Credit Card Payment"/>
  </r>
  <r>
    <s v="Chase0117"/>
    <s v="OldAcct"/>
    <s v="DEBIT"/>
    <d v="2024-07-31T00:00:00"/>
    <s v="ATM WITHDRAWAL                       005527  07/311003 LEXI"/>
    <n v="-500"/>
    <s v="ATM"/>
    <n v="4830.33"/>
    <m/>
    <x v="0"/>
    <x v="0"/>
    <m/>
  </r>
  <r>
    <s v="Chase0117"/>
    <s v="OldAcct"/>
    <s v="DEBIT"/>
    <d v="2024-07-29T00:00:00"/>
    <s v="ORIG CO NAME:AMERICAN EXPRESS       ORIG ID:9493560001 DESC DATE:240729 CO ENTRY DESCR:ACH PMT   SEC:CCD    TRACE#:021000028396932 EED:240729   IND ID:A2066                        IND NAME:colin devlin                                                                                                 AM TRN: 2118396932TC"/>
    <n v="-500"/>
    <s v="ACH_DEBIT"/>
    <n v="5380.33"/>
    <m/>
    <x v="0"/>
    <x v="0"/>
    <s v="Credit Card Payment"/>
  </r>
  <r>
    <s v="Chase0117"/>
    <s v="OldAcct"/>
    <s v="DEBIT"/>
    <d v="2024-07-22T00:00:00"/>
    <s v="ORIG CO NAME:AMERICAN EXPRESS       ORIG ID:9493560001 DESC DATE:240722 CO ENTRY DESCR:ACH PMT   SEC:CCD    TRACE#:021000020420514 EED:240722   IND ID:A9250                        IND NAME:colin devlin                                                                                                 AM TRN: 2040420514TC"/>
    <n v="-500"/>
    <s v="ACH_DEBIT"/>
    <n v="11623.33"/>
    <m/>
    <x v="0"/>
    <x v="0"/>
    <s v="Credit Card Payment"/>
  </r>
  <r>
    <s v="Chase0117"/>
    <s v="OldAcct"/>
    <s v="DEBIT"/>
    <d v="2024-07-15T00:00:00"/>
    <s v="ORIG CO NAME:AMERICAN EXPRESS       ORIG ID:9493560001 DESC DATE:240715 CO ENTRY DESCR:ACH PMT   SEC:CCD    TRACE#:021000024730882 EED:240715   IND ID:A5200                        IND NAME:colin devlin                                                                                                 AM TRN: 1974730882TC"/>
    <n v="-500"/>
    <s v="ACH_DEBIT"/>
    <n v="12023.33"/>
    <m/>
    <x v="0"/>
    <x v="0"/>
    <s v="Credit Card Payment"/>
  </r>
  <r>
    <s v="Chase0117"/>
    <s v="OldAcct"/>
    <s v="DEBIT"/>
    <d v="2024-07-08T00:00:00"/>
    <s v="ORIG CO NAME:AMERICAN EXPRESS       ORIG ID:9493560001 DESC DATE:240708 CO ENTRY DESCR:ACH PMT   SEC:CCD    TRACE#:021000028619476 EED:240708   IND ID:A0672                        IND NAME:colin devlin                                                                                                 AM TRN: 1908619476TC"/>
    <n v="-500"/>
    <s v="ACH_DEBIT"/>
    <n v="5486.33"/>
    <m/>
    <x v="0"/>
    <x v="0"/>
    <s v="Credit Card Payment"/>
  </r>
  <r>
    <s v="Chase0117"/>
    <s v="OldAcct"/>
    <s v="DEBIT"/>
    <d v="2024-07-01T00:00:00"/>
    <s v="ORIG CO NAME:AMERICAN EXPRESS       ORIG ID:9493560001 DESC DATE:240701 CO ENTRY DESCR:ACH PMT   SEC:CCD    TRACE#:021000026657617 EED:240701   IND ID:A7612                        IND NAME:colin devlin                                                                                                 AM TRN: 1836657617TC"/>
    <n v="-500"/>
    <s v="ACH_DEBIT"/>
    <n v="2062.33"/>
    <m/>
    <x v="0"/>
    <x v="0"/>
    <s v="Credit Card Payment"/>
  </r>
  <r>
    <s v="Chase0117"/>
    <s v="OldAcct"/>
    <s v="DEBIT"/>
    <d v="2024-06-24T00:00:00"/>
    <s v="ORIG CO NAME:AMERICAN EXPRESS       ORIG ID:9493560001 DESC DATE:240624 CO ENTRY DESCR:ACH PMT   SEC:CCD    TRACE#:021000029895439 EED:240624   IND ID:A1042                        IND NAME:colin devlin                                                                                                 AM TRN: 1769895439TC"/>
    <n v="-500"/>
    <s v="ACH_DEBIT"/>
    <n v="2577.33"/>
    <m/>
    <x v="0"/>
    <x v="0"/>
    <s v="Credit Card Payment"/>
  </r>
  <r>
    <s v="Chase0117"/>
    <s v="OldAcct"/>
    <s v="DEBIT"/>
    <d v="2024-07-05T00:00:00"/>
    <s v="ORIG CO NAME:AMERICAN EXPRESS       ORIG ID:2005032111 DESC DATE:240705 CO ENTRY DESCR:ACH PMT   SEC:CCD    TRACE#:021000023909084 EED:240705   IND ID:M9318                        IND NAME:colin devlin                                                                                                 ER AM TRN: 1873909084TC"/>
    <n v="-451"/>
    <s v="ACH_DEBIT"/>
    <n v="5986.33"/>
    <m/>
    <x v="0"/>
    <x v="0"/>
    <s v="Credit Card Payment"/>
  </r>
  <r>
    <s v="Chase0117"/>
    <s v="OldAcct"/>
    <s v="DEBIT"/>
    <d v="2024-10-15T00:00:00"/>
    <s v="Zelle payment to Ramon Update Systems JPM99apav557"/>
    <n v="-450"/>
    <s v="CHASE_TO_PARTNERFI"/>
    <n v="36788.800000000003"/>
    <m/>
    <x v="0"/>
    <x v="4"/>
    <m/>
  </r>
  <r>
    <s v="Chase0117"/>
    <s v="OldAcct"/>
    <s v="DEBIT"/>
    <d v="2024-05-06T00:00:00"/>
    <s v="ORIG CO NAME:AMERICAN EXPRESS       ORIG ID:2005032111 DESC DATE:240506 CO ENTRY DESCR:ACH PMT   SEC:CCD    TRACE#:021000027375855 EED:240506   IND ID:M0250                        IND NAME:colin devlin                                                                                                 ER AM TRN: 1277375855TC"/>
    <n v="-406"/>
    <s v="ACH_DEBIT"/>
    <n v="13562.33"/>
    <m/>
    <x v="0"/>
    <x v="0"/>
    <s v="Credit Card Payment"/>
  </r>
  <r>
    <s v="Chase3789"/>
    <s v="NewAcct"/>
    <s v="DEBIT"/>
    <d v="2024-12-12T00:00:00"/>
    <s v="ATM WITHDRAWAL                       004534  12/127104 WOOD"/>
    <n v="-400"/>
    <s v="ATM"/>
    <n v="54745.599999999999"/>
    <m/>
    <x v="0"/>
    <x v="0"/>
    <m/>
  </r>
  <r>
    <s v="Chase3789"/>
    <s v="NewAcct"/>
    <s v="DEBIT"/>
    <d v="2024-12-09T00:00:00"/>
    <s v="ATM WITHDRAWAL                       008078  12/072245 31ST"/>
    <n v="-400"/>
    <s v="ATM"/>
    <n v="58467.15"/>
    <m/>
    <x v="0"/>
    <x v="0"/>
    <m/>
  </r>
  <r>
    <s v="Chase0117"/>
    <s v="OldAcct"/>
    <s v="DEBIT"/>
    <d v="2024-10-15T00:00:00"/>
    <s v="ATM WITHDRAWAL                       008418  10/15345 HUDSO"/>
    <n v="-400"/>
    <s v="ATM"/>
    <n v="34888.800000000003"/>
    <m/>
    <x v="0"/>
    <x v="0"/>
    <m/>
  </r>
  <r>
    <s v="Chase0117"/>
    <s v="OldAcct"/>
    <s v="DEBIT"/>
    <d v="2024-09-13T00:00:00"/>
    <s v="ATM WITHDRAWAL                       005626  09/13204 W 4TH"/>
    <n v="-400"/>
    <s v="ATM"/>
    <n v="17379.689999999999"/>
    <m/>
    <x v="0"/>
    <x v="0"/>
    <m/>
  </r>
  <r>
    <s v="Chase0117"/>
    <s v="OldAcct"/>
    <s v="DEBIT"/>
    <d v="2024-09-09T00:00:00"/>
    <s v="ATM WITHDRAWAL                       004916  09/09204 W 4TH"/>
    <n v="-400"/>
    <s v="ATM"/>
    <n v="24604.69"/>
    <m/>
    <x v="0"/>
    <x v="0"/>
    <m/>
  </r>
  <r>
    <s v="Chase0117"/>
    <s v="OldAcct"/>
    <s v="DEBIT"/>
    <d v="2024-08-22T00:00:00"/>
    <s v="ATM WITHDRAWAL                       005599  08/222245 31ST"/>
    <n v="-400"/>
    <s v="ATM"/>
    <n v="13456.69"/>
    <m/>
    <x v="0"/>
    <x v="0"/>
    <m/>
  </r>
  <r>
    <s v="Chase0117"/>
    <s v="OldAcct"/>
    <s v="DEBIT"/>
    <d v="2024-08-12T00:00:00"/>
    <s v="ATM WITHDRAWAL                       009701  08/122121 BROA"/>
    <n v="-400"/>
    <s v="ATM"/>
    <n v="2681.96"/>
    <m/>
    <x v="0"/>
    <x v="0"/>
    <m/>
  </r>
  <r>
    <s v="Chase0117"/>
    <s v="OldAcct"/>
    <s v="DEBIT"/>
    <d v="2024-08-05T00:00:00"/>
    <s v="ATM WITHDRAWAL                       007033  08/05525 BROAD"/>
    <n v="-400"/>
    <s v="ATM"/>
    <n v="4131.96"/>
    <m/>
    <x v="0"/>
    <x v="0"/>
    <m/>
  </r>
  <r>
    <s v="Chase0117"/>
    <s v="OldAcct"/>
    <s v="DEBIT"/>
    <d v="2024-04-10T00:00:00"/>
    <s v="ATM WITHDRAWAL                       008309  04/101003 LEXI"/>
    <n v="-400"/>
    <s v="ATM"/>
    <n v="11621.9"/>
    <m/>
    <x v="0"/>
    <x v="0"/>
    <m/>
  </r>
  <r>
    <s v="Chase0117"/>
    <s v="OldAcct"/>
    <s v="DEBIT"/>
    <d v="2024-04-01T00:00:00"/>
    <s v="ATM WITHDRAWAL                       008942  03/303818 BROA"/>
    <n v="-400"/>
    <s v="ATM"/>
    <n v="9827.9"/>
    <m/>
    <x v="0"/>
    <x v="0"/>
    <m/>
  </r>
  <r>
    <s v="Chase0117"/>
    <s v="OldAcct"/>
    <s v="DEBIT"/>
    <d v="2024-10-25T00:00:00"/>
    <s v="ORIG CO NAME:CHS payrol  6760       ORIG ID:9IB0517397 DESC DATE:241025 CO ENTRY DESCR:TAX IMPOUNSEC:CCD    TRACE#:091311174568402 EED:241025   IND ID:842024147                    IND NAME:Devlin Interiors Inc                                                                                         TAX IMPOUND TRN: 2994568402TC"/>
    <n v="-381.04"/>
    <s v="ACH_DEBIT"/>
    <n v="23166.47"/>
    <m/>
    <x v="0"/>
    <x v="7"/>
    <m/>
  </r>
  <r>
    <s v="Chase0117"/>
    <s v="OldAcct"/>
    <s v="DEBIT"/>
    <d v="2024-02-01T00:00:00"/>
    <s v="Zelle payment to Hugo JPM99a8rdm4h"/>
    <n v="-351"/>
    <s v="CHASE_TO_PARTNERFI"/>
    <n v="5484.6"/>
    <m/>
    <x v="0"/>
    <x v="4"/>
    <m/>
  </r>
  <r>
    <s v="Chase0117"/>
    <s v="OldAcct"/>
    <s v="DEBIT"/>
    <d v="2024-01-10T00:00:00"/>
    <s v="Zelle payment to Hugo JPM99a7s6ued"/>
    <n v="-351"/>
    <s v="CHASE_TO_PARTNERFI"/>
    <n v="685.19"/>
    <m/>
    <x v="0"/>
    <x v="4"/>
    <m/>
  </r>
  <r>
    <s v="Chase0117"/>
    <s v="OldAcct"/>
    <s v="DEBIT"/>
    <d v="2024-10-21T00:00:00"/>
    <s v="Zelle payment to Jamie Update System JPM99appzgjz"/>
    <n v="-350"/>
    <s v="CHASE_TO_PARTNERFI"/>
    <n v="34353.97"/>
    <m/>
    <x v="0"/>
    <x v="4"/>
    <m/>
  </r>
  <r>
    <s v="Chase0117"/>
    <s v="OldAcct"/>
    <s v="CHECK"/>
    <d v="2024-10-10T00:00:00"/>
    <s v="CHECK 993  "/>
    <n v="-304.85000000000002"/>
    <s v="CHECK_PAID"/>
    <n v="13412.3"/>
    <n v="993"/>
    <x v="0"/>
    <x v="1"/>
    <m/>
  </r>
  <r>
    <s v="Chase3789"/>
    <s v="NewAcct"/>
    <s v="CHECK"/>
    <d v="2024-12-19T00:00:00"/>
    <s v="CHECK 1580  "/>
    <n v="-280"/>
    <s v="CHECK_PAID"/>
    <n v="37237.53"/>
    <n v="1580"/>
    <x v="0"/>
    <x v="1"/>
    <m/>
  </r>
  <r>
    <s v="Chase0117"/>
    <s v="OldAcct"/>
    <s v="DEBIT"/>
    <d v="2024-02-21T00:00:00"/>
    <s v="ATM WITHDRAWAL                       006219  02/212245 31ST"/>
    <n v="-240"/>
    <s v="ATM"/>
    <n v="7379.15"/>
    <m/>
    <x v="0"/>
    <x v="0"/>
    <m/>
  </r>
  <r>
    <s v="Chase0117"/>
    <s v="OldAcct"/>
    <s v="DEBIT"/>
    <d v="2024-10-22T00:00:00"/>
    <s v="Amazon.com*TS4299NY3 Amzn.com/bill WA        10/21"/>
    <n v="-224.27"/>
    <s v="DEBIT_CARD"/>
    <n v="24547.81"/>
    <m/>
    <x v="0"/>
    <x v="4"/>
    <m/>
  </r>
  <r>
    <s v="Chase0117"/>
    <s v="OldAcct"/>
    <s v="DEBIT"/>
    <d v="2024-05-28T00:00:00"/>
    <s v="ORIG CO NAME:NYC BUILDINGS          ORIG ID:AC36440434 DESC DATE:       CO ENTRY DESCR:DOB       SEC:CCD    TRACE#:028000081292169 EED:240528   IND ID:C     370049626              IND NAME:DEVLIN INTERIORS INC TRN: 1491292169TC"/>
    <n v="-200"/>
    <s v="ACH_DEBIT"/>
    <n v="2776.33"/>
    <m/>
    <x v="0"/>
    <x v="5"/>
    <m/>
  </r>
  <r>
    <s v="Chase0117"/>
    <s v="OldAcct"/>
    <s v="DEBIT"/>
    <d v="2024-03-28T00:00:00"/>
    <s v="ATM WITHDRAWAL                       006916  03/286602 GRAN"/>
    <n v="-200"/>
    <s v="ATM"/>
    <n v="3542.9"/>
    <m/>
    <x v="0"/>
    <x v="0"/>
    <m/>
  </r>
  <r>
    <s v="Chase3789"/>
    <s v="NewAcct"/>
    <s v="DEBIT"/>
    <d v="2024-12-17T00:00:00"/>
    <s v="SQSP* INV161700158 HTTPSSQUARESP NY          12/17"/>
    <n v="-192"/>
    <s v="DEBIT_CARD"/>
    <n v="44606.74"/>
    <m/>
    <x v="0"/>
    <x v="8"/>
    <m/>
  </r>
  <r>
    <s v="Chase0117"/>
    <s v="OldAcct"/>
    <s v="DEBIT"/>
    <d v="2024-02-22T00:00:00"/>
    <s v="ORIG CO NAME:CHS Payroll LLC        ORIG ID:9IB0517397 DESC DATE:240220 CO ENTRY DESCR:TAX IMPOUNSEC:CCD    TRACE#:091311179636433 EED:240222   IND ID:842024147                    IND NAME:Devlin Interiors                                                                                             TAX IMPOUND TRN: 0539636433TC"/>
    <n v="-189"/>
    <s v="ACH_DEBIT"/>
    <n v="7190.15"/>
    <m/>
    <x v="0"/>
    <x v="7"/>
    <m/>
  </r>
  <r>
    <s v="Chase0117"/>
    <s v="OldAcct"/>
    <s v="DEBIT"/>
    <d v="2024-10-01T00:00:00"/>
    <s v="Zelle payment to Hugo JPM99aomvx5m"/>
    <n v="-180"/>
    <s v="CHASE_TO_PARTNERFI"/>
    <n v="39600.54"/>
    <m/>
    <x v="0"/>
    <x v="4"/>
    <m/>
  </r>
  <r>
    <s v="Chase0117"/>
    <s v="OldAcct"/>
    <s v="DEBIT"/>
    <d v="2024-02-15T00:00:00"/>
    <s v="ATM WITHDRAWAL                       003497  02/15345 HUDSO"/>
    <n v="-160"/>
    <s v="ATM"/>
    <n v="6842.56"/>
    <m/>
    <x v="0"/>
    <x v="0"/>
    <m/>
  </r>
  <r>
    <s v="Chase0117"/>
    <s v="OldAcct"/>
    <s v="CHECK"/>
    <d v="2024-11-14T00:00:00"/>
    <s v="CHECK 712  "/>
    <n v="-140"/>
    <s v="CHECK_PAID"/>
    <n v="57018.03"/>
    <n v="712"/>
    <x v="0"/>
    <x v="0"/>
    <s v="Credit Card Payment"/>
  </r>
  <r>
    <s v="Chase0117"/>
    <s v="OldAcct"/>
    <s v="CHECK"/>
    <d v="2024-11-14T00:00:00"/>
    <s v="CHECK 708  "/>
    <n v="-140"/>
    <s v="CHECK_PAID"/>
    <n v="57158.03"/>
    <n v="708"/>
    <x v="0"/>
    <x v="0"/>
    <s v="Credit Card Payment"/>
  </r>
  <r>
    <s v="Chase0117"/>
    <s v="OldAcct"/>
    <s v="CHECK"/>
    <d v="2024-11-14T00:00:00"/>
    <s v="CHECK 711  "/>
    <n v="-140"/>
    <s v="CHECK_PAID"/>
    <n v="57298.03"/>
    <n v="711"/>
    <x v="0"/>
    <x v="0"/>
    <s v="Credit Card Payment"/>
  </r>
  <r>
    <s v="Chase0117"/>
    <s v="OldAcct"/>
    <s v="CHECK"/>
    <d v="2024-10-25T00:00:00"/>
    <s v="CHECK 998  "/>
    <n v="-140"/>
    <s v="CHECK_PAID"/>
    <n v="20986.22"/>
    <n v="998"/>
    <x v="0"/>
    <x v="0"/>
    <s v="Credit Card Payment"/>
  </r>
  <r>
    <s v="Chase0117"/>
    <s v="OldAcct"/>
    <s v="CHECK"/>
    <d v="2024-10-25T00:00:00"/>
    <s v="CHECK 707  "/>
    <n v="-140"/>
    <s v="CHECK_PAID"/>
    <n v="21126.22"/>
    <n v="707"/>
    <x v="0"/>
    <x v="0"/>
    <s v="Credit Card Payment"/>
  </r>
  <r>
    <s v="Chase0117"/>
    <s v="OldAcct"/>
    <s v="CHECK"/>
    <d v="2024-10-25T00:00:00"/>
    <s v="CHECK 997  "/>
    <n v="-140"/>
    <s v="CHECK_PAID"/>
    <n v="21266.22"/>
    <n v="997"/>
    <x v="0"/>
    <x v="0"/>
    <s v="Credit Card Payment"/>
  </r>
  <r>
    <s v="Chase0117"/>
    <s v="OldAcct"/>
    <s v="CHECK"/>
    <d v="2024-10-25T00:00:00"/>
    <s v="CHECK 705  "/>
    <n v="-140"/>
    <s v="CHECK_PAID"/>
    <n v="21406.22"/>
    <n v="705"/>
    <x v="0"/>
    <x v="0"/>
    <s v="Credit Card Payment"/>
  </r>
  <r>
    <s v="Chase0117"/>
    <s v="OldAcct"/>
    <s v="CHECK"/>
    <d v="2024-09-30T00:00:00"/>
    <s v="CHECK 991  "/>
    <n v="-140"/>
    <s v="CHECK_PAID"/>
    <n v="39795.54"/>
    <n v="991"/>
    <x v="0"/>
    <x v="0"/>
    <s v="Credit Card Payment"/>
  </r>
  <r>
    <s v="Chase0117"/>
    <s v="OldAcct"/>
    <s v="CHECK"/>
    <d v="2024-09-30T00:00:00"/>
    <s v="CHECK 992  "/>
    <n v="-140"/>
    <s v="CHECK_PAID"/>
    <n v="39935.54"/>
    <n v="992"/>
    <x v="0"/>
    <x v="0"/>
    <s v="Credit Card Payment"/>
  </r>
  <r>
    <s v="Chase0117"/>
    <s v="OldAcct"/>
    <s v="CHECK"/>
    <d v="2024-09-30T00:00:00"/>
    <s v="CHECK 994  "/>
    <n v="-140"/>
    <s v="CHECK_PAID"/>
    <n v="40075.54"/>
    <n v="994"/>
    <x v="0"/>
    <x v="0"/>
    <s v="Credit Card Payment"/>
  </r>
  <r>
    <s v="Chase0117"/>
    <s v="OldAcct"/>
    <s v="CHECK"/>
    <d v="2024-08-30T00:00:00"/>
    <s v="CHECK 982  "/>
    <n v="-140"/>
    <s v="CHECK_PAID"/>
    <n v="12494.69"/>
    <n v="982"/>
    <x v="0"/>
    <x v="0"/>
    <s v="Credit Card Payment"/>
  </r>
  <r>
    <s v="Chase0117"/>
    <s v="OldAcct"/>
    <s v="CHECK"/>
    <d v="2024-08-30T00:00:00"/>
    <s v="CHECK 702  "/>
    <n v="-140"/>
    <s v="CHECK_PAID"/>
    <n v="12634.69"/>
    <n v="702"/>
    <x v="0"/>
    <x v="0"/>
    <s v="Credit Card Payment"/>
  </r>
  <r>
    <s v="Chase0117"/>
    <s v="OldAcct"/>
    <s v="CHECK"/>
    <d v="2024-08-30T00:00:00"/>
    <s v="CHECK 984  "/>
    <n v="-140"/>
    <s v="CHECK_PAID"/>
    <n v="12774.69"/>
    <n v="984"/>
    <x v="0"/>
    <x v="0"/>
    <s v="Credit Card Payment"/>
  </r>
  <r>
    <s v="Chase0117"/>
    <s v="OldAcct"/>
    <s v="CHECK"/>
    <d v="2024-08-30T00:00:00"/>
    <s v="CHECK 988  "/>
    <n v="-140"/>
    <s v="CHECK_PAID"/>
    <n v="12914.69"/>
    <n v="988"/>
    <x v="0"/>
    <x v="0"/>
    <s v="Credit Card Payment"/>
  </r>
  <r>
    <s v="Chase0117"/>
    <s v="OldAcct"/>
    <s v="CHECK"/>
    <d v="2024-08-01T00:00:00"/>
    <s v="CHECK 980  "/>
    <n v="-140"/>
    <s v="CHECK_PAID"/>
    <n v="4270.33"/>
    <n v="980"/>
    <x v="0"/>
    <x v="0"/>
    <s v="Credit Card Payment"/>
  </r>
  <r>
    <s v="Chase0117"/>
    <s v="OldAcct"/>
    <s v="CHECK"/>
    <d v="2024-08-01T00:00:00"/>
    <s v="CHECK 979  "/>
    <n v="-140"/>
    <s v="CHECK_PAID"/>
    <n v="4410.33"/>
    <n v="979"/>
    <x v="0"/>
    <x v="0"/>
    <s v="Credit Card Payment"/>
  </r>
  <r>
    <s v="Chase0117"/>
    <s v="OldAcct"/>
    <s v="CHECK"/>
    <d v="2024-08-01T00:00:00"/>
    <s v="CHECK 975  "/>
    <n v="-140"/>
    <s v="CHECK_PAID"/>
    <n v="4550.33"/>
    <n v="975"/>
    <x v="0"/>
    <x v="0"/>
    <s v="Credit Card Payment"/>
  </r>
  <r>
    <s v="Chase0117"/>
    <s v="OldAcct"/>
    <s v="CHECK"/>
    <d v="2024-08-01T00:00:00"/>
    <s v="CHECK 981  "/>
    <n v="-140"/>
    <s v="CHECK_PAID"/>
    <n v="4690.33"/>
    <n v="981"/>
    <x v="0"/>
    <x v="0"/>
    <s v="Credit Card Payment"/>
  </r>
  <r>
    <s v="Chase0117"/>
    <s v="OldAcct"/>
    <s v="CHECK"/>
    <d v="2024-07-08T00:00:00"/>
    <s v="CHECK 972  "/>
    <n v="-140"/>
    <s v="CHECK_PAID"/>
    <n v="4926.33"/>
    <n v="972"/>
    <x v="0"/>
    <x v="0"/>
    <s v="Credit Card Payment"/>
  </r>
  <r>
    <s v="Chase0117"/>
    <s v="OldAcct"/>
    <s v="CHECK"/>
    <d v="2024-07-08T00:00:00"/>
    <s v="CHECK 969  "/>
    <n v="-140"/>
    <s v="CHECK_PAID"/>
    <n v="5066.33"/>
    <n v="969"/>
    <x v="0"/>
    <x v="0"/>
    <s v="Credit Card Payment"/>
  </r>
  <r>
    <s v="Chase0117"/>
    <s v="OldAcct"/>
    <s v="CHECK"/>
    <d v="2024-07-08T00:00:00"/>
    <s v="CHECK 974  "/>
    <n v="-140"/>
    <s v="CHECK_PAID"/>
    <n v="5206.33"/>
    <n v="974"/>
    <x v="0"/>
    <x v="0"/>
    <s v="Credit Card Payment"/>
  </r>
  <r>
    <s v="Chase0117"/>
    <s v="OldAcct"/>
    <s v="CHECK"/>
    <d v="2024-07-08T00:00:00"/>
    <s v="CHECK 970  "/>
    <n v="-140"/>
    <s v="CHECK_PAID"/>
    <n v="5346.33"/>
    <n v="970"/>
    <x v="0"/>
    <x v="0"/>
    <s v="Credit Card Payment"/>
  </r>
  <r>
    <s v="Chase0117"/>
    <s v="OldAcct"/>
    <s v="CHECK"/>
    <d v="2024-05-29T00:00:00"/>
    <s v="CHECK 968  "/>
    <n v="-140"/>
    <s v="CHECK_PAID"/>
    <n v="2636.33"/>
    <n v="968"/>
    <x v="0"/>
    <x v="0"/>
    <s v="Credit Card Payment"/>
  </r>
  <r>
    <s v="Chase0117"/>
    <s v="OldAcct"/>
    <s v="CHECK"/>
    <d v="2024-05-23T00:00:00"/>
    <s v="CHECK 966  "/>
    <n v="-140"/>
    <s v="CHECK_PAID"/>
    <n v="3976.33"/>
    <n v="966"/>
    <x v="0"/>
    <x v="0"/>
    <s v="Credit Card Payment"/>
  </r>
  <r>
    <s v="Chase0117"/>
    <s v="OldAcct"/>
    <s v="CHECK"/>
    <d v="2024-05-15T00:00:00"/>
    <s v="CHECK 965  "/>
    <n v="-140"/>
    <s v="CHECK_PAID"/>
    <n v="8909.33"/>
    <n v="965"/>
    <x v="0"/>
    <x v="0"/>
    <s v="Credit Card Payment"/>
  </r>
  <r>
    <s v="Chase0117"/>
    <s v="OldAcct"/>
    <s v="CHECK"/>
    <d v="2024-05-15T00:00:00"/>
    <s v="CHECK 963  "/>
    <n v="-140"/>
    <s v="CHECK_PAID"/>
    <n v="9049.33"/>
    <n v="963"/>
    <x v="0"/>
    <x v="0"/>
    <s v="Credit Card Payment"/>
  </r>
  <r>
    <s v="Chase0117"/>
    <s v="OldAcct"/>
    <s v="CHECK"/>
    <d v="2024-05-15T00:00:00"/>
    <s v="CHECK 962  "/>
    <n v="-140"/>
    <s v="CHECK_PAID"/>
    <n v="9189.33"/>
    <n v="962"/>
    <x v="0"/>
    <x v="0"/>
    <s v="Credit Card Payment"/>
  </r>
  <r>
    <s v="Chase0117"/>
    <s v="OldAcct"/>
    <s v="CHECK"/>
    <d v="2024-05-02T00:00:00"/>
    <s v="CHECK 961  "/>
    <n v="-140"/>
    <s v="CHECK_PAID"/>
    <n v="14628.33"/>
    <n v="961"/>
    <x v="0"/>
    <x v="0"/>
    <s v="Credit Card Payment"/>
  </r>
  <r>
    <s v="Chase0117"/>
    <s v="OldAcct"/>
    <s v="CHECK"/>
    <d v="2024-04-23T00:00:00"/>
    <s v="CHECK 960  "/>
    <n v="-140"/>
    <s v="CHECK_PAID"/>
    <n v="4075.33"/>
    <n v="960"/>
    <x v="0"/>
    <x v="0"/>
    <s v="Credit Card Payment"/>
  </r>
  <r>
    <s v="Chase0117"/>
    <s v="OldAcct"/>
    <s v="CHECK"/>
    <d v="2024-04-23T00:00:00"/>
    <s v="CHECK 959  "/>
    <n v="-140"/>
    <s v="CHECK_PAID"/>
    <n v="4215.33"/>
    <n v="959"/>
    <x v="0"/>
    <x v="0"/>
    <s v="Credit Card Payment"/>
  </r>
  <r>
    <s v="Chase0117"/>
    <s v="OldAcct"/>
    <s v="CHECK"/>
    <d v="2024-04-11T00:00:00"/>
    <s v="CHECK 955  "/>
    <n v="-140"/>
    <s v="CHECK_PAID"/>
    <n v="11201.9"/>
    <n v="955"/>
    <x v="0"/>
    <x v="0"/>
    <s v="Credit Card Payment"/>
  </r>
  <r>
    <s v="Chase0117"/>
    <s v="OldAcct"/>
    <s v="CHECK"/>
    <d v="2024-04-11T00:00:00"/>
    <s v="CHECK 952  "/>
    <n v="-140"/>
    <s v="CHECK_PAID"/>
    <n v="11341.9"/>
    <n v="952"/>
    <x v="0"/>
    <x v="0"/>
    <s v="Credit Card Payment"/>
  </r>
  <r>
    <s v="Chase0117"/>
    <s v="OldAcct"/>
    <s v="CHECK"/>
    <d v="2024-04-11T00:00:00"/>
    <s v="CHECK 953  "/>
    <n v="-140"/>
    <s v="CHECK_PAID"/>
    <n v="11481.9"/>
    <n v="953"/>
    <x v="0"/>
    <x v="0"/>
    <s v="Credit Card Payment"/>
  </r>
  <r>
    <s v="Chase0117"/>
    <s v="OldAcct"/>
    <s v="CHECK"/>
    <d v="2024-03-26T00:00:00"/>
    <s v="CHECK 800  "/>
    <n v="-140"/>
    <s v="CHECK_PAID"/>
    <n v="3602.9"/>
    <n v="800"/>
    <x v="0"/>
    <x v="0"/>
    <s v="Credit Card Payment"/>
  </r>
  <r>
    <s v="Chase0117"/>
    <s v="OldAcct"/>
    <s v="CHECK"/>
    <d v="2024-03-14T00:00:00"/>
    <s v="CHECK 797  "/>
    <n v="-140"/>
    <s v="CHECK_PAID"/>
    <n v="-1077.8499999999999"/>
    <n v="797"/>
    <x v="0"/>
    <x v="0"/>
    <s v="Credit Card Payment"/>
  </r>
  <r>
    <s v="Chase0117"/>
    <s v="OldAcct"/>
    <s v="CHECK"/>
    <d v="2024-03-14T00:00:00"/>
    <s v="CHECK 799  "/>
    <n v="-140"/>
    <s v="CHECK_PAID"/>
    <n v="-937.85"/>
    <n v="799"/>
    <x v="0"/>
    <x v="0"/>
    <s v="Credit Card Payment"/>
  </r>
  <r>
    <s v="Chase0117"/>
    <s v="OldAcct"/>
    <s v="CHECK"/>
    <d v="2024-02-28T00:00:00"/>
    <s v="CHECK 796  "/>
    <n v="-140"/>
    <s v="CHECK_PAID"/>
    <n v="2660.15"/>
    <n v="796"/>
    <x v="0"/>
    <x v="0"/>
    <s v="Credit Card Payment"/>
  </r>
  <r>
    <s v="Chase0117"/>
    <s v="OldAcct"/>
    <s v="CHECK"/>
    <d v="2024-02-28T00:00:00"/>
    <s v="CHECK 795  "/>
    <n v="-140"/>
    <s v="CHECK_PAID"/>
    <n v="2800.15"/>
    <n v="795"/>
    <x v="0"/>
    <x v="0"/>
    <s v="Credit Card Payment"/>
  </r>
  <r>
    <s v="Chase0117"/>
    <s v="OldAcct"/>
    <s v="CHECK"/>
    <d v="2024-02-14T00:00:00"/>
    <s v="CHECK 793  "/>
    <n v="-140"/>
    <s v="CHECK_PAID"/>
    <n v="8728.65"/>
    <n v="793"/>
    <x v="0"/>
    <x v="0"/>
    <s v="Credit Card Payment"/>
  </r>
  <r>
    <s v="Chase0117"/>
    <s v="OldAcct"/>
    <s v="CHECK"/>
    <d v="2024-01-26T00:00:00"/>
    <s v="CHECK 792  "/>
    <n v="-140"/>
    <s v="CHECK_PAID"/>
    <n v="1783.92"/>
    <n v="792"/>
    <x v="0"/>
    <x v="0"/>
    <s v="Credit Card Payment"/>
  </r>
  <r>
    <s v="Chase0117"/>
    <s v="OldAcct"/>
    <s v="CHECK"/>
    <d v="2024-01-19T00:00:00"/>
    <s v="CHECK 791  "/>
    <n v="-140"/>
    <s v="CHECK_PAID"/>
    <n v="19518.88"/>
    <n v="791"/>
    <x v="0"/>
    <x v="0"/>
    <s v="Credit Card Payment"/>
  </r>
  <r>
    <s v="Chase0117"/>
    <s v="OldAcct"/>
    <s v="CHECK"/>
    <d v="2024-01-10T00:00:00"/>
    <s v="CHECK 789  "/>
    <n v="-140"/>
    <s v="CHECK_PAID"/>
    <n v="405.19"/>
    <n v="789"/>
    <x v="0"/>
    <x v="0"/>
    <s v="Credit Card Payment"/>
  </r>
  <r>
    <s v="Chase0117"/>
    <s v="OldAcct"/>
    <s v="CHECK"/>
    <d v="2024-01-10T00:00:00"/>
    <s v="CHECK 790  "/>
    <n v="-140"/>
    <s v="CHECK_PAID"/>
    <n v="545.19000000000005"/>
    <n v="790"/>
    <x v="0"/>
    <x v="0"/>
    <s v="Credit Card Payment"/>
  </r>
  <r>
    <s v="Chase3789"/>
    <s v="NewAcct"/>
    <s v="DEBIT"/>
    <d v="2024-12-13T00:00:00"/>
    <s v="E-Z*PASSNY PAYMENT 800-333-8655 NY           12/13"/>
    <n v="-102.78"/>
    <s v="DEBIT_CARD"/>
    <n v="54642.82"/>
    <m/>
    <x v="0"/>
    <x v="9"/>
    <m/>
  </r>
  <r>
    <s v="Chase0117"/>
    <s v="OldAcct"/>
    <s v="DEBIT"/>
    <d v="2024-02-13T00:00:00"/>
    <s v="ORIG CO NAME:INTUIT *               ORIG ID:0000756346 DESC DATE:240213 CO ENTRY DESCR:QBooks OnlSEC:CCD    TRACE#:021000025874496 EED:240213   IND ID:9113744                      IND NAME:DEVLIN INTERIORS INC                                                                                         800-446-8848 TRN: 0445874496TC"/>
    <n v="-97.99"/>
    <s v="ACH_DEBIT"/>
    <n v="8868.65"/>
    <m/>
    <x v="0"/>
    <x v="10"/>
    <m/>
  </r>
  <r>
    <s v="Chase0117"/>
    <s v="OldAcct"/>
    <s v="DEBIT"/>
    <d v="2024-01-16T00:00:00"/>
    <s v="ORIG CO NAME:INTUIT *               ORIG ID:0000756346 DESC DATE:240113 CO ENTRY DESCR:QBooks OnlSEC:CCD    TRACE#:021000022155186 EED:240116   IND ID:9942879                      IND NAME:DEVLIN INTERIORS INC                                                                                         800-446-8848 TRN: 0162155186TC"/>
    <n v="-97.99"/>
    <s v="ACH_DEBIT"/>
    <n v="19726.88"/>
    <m/>
    <x v="0"/>
    <x v="10"/>
    <m/>
  </r>
  <r>
    <s v="Chase3789"/>
    <s v="NewAcct"/>
    <s v="DEBIT"/>
    <d v="2024-12-11T00:00:00"/>
    <s v="ORIG CO NAME:CHS Payrol0040Qd       ORIG ID:9IF0517397 DESC DATE:241210 CO ENTRY DESCR:Tax Impou SEC:CCD    TRACE#:091311175918405 EED:241211   IND ID:84-2024147                   IND NAME:Devlin Interiors Inc                                                                                         TAX IMPOUND MAN TRN: 3465918405TC"/>
    <n v="-95.25"/>
    <s v="ACH_DEBIT"/>
    <n v="55754.81"/>
    <m/>
    <x v="0"/>
    <x v="7"/>
    <m/>
  </r>
  <r>
    <s v="Chase0117"/>
    <s v="OldAcct"/>
    <s v="DEBIT"/>
    <d v="2024-03-05T00:00:00"/>
    <s v="ORIG CO NAME:AMERICAN EXPRESS       ORIG ID:2005032111 DESC DATE:240305 CO ENTRY DESCR:ACH PMT   SEC:CCD    TRACE#:021000020887450 EED:240305   IND ID:M1874                        IND NAME:colin devlin                                                                                                 ER AM TRN: 0650887450TC"/>
    <n v="-93"/>
    <s v="ACH_DEBIT"/>
    <n v="-831.85"/>
    <m/>
    <x v="0"/>
    <x v="0"/>
    <s v="Credit Card Payment"/>
  </r>
  <r>
    <s v="Chase0117"/>
    <s v="OldAcct"/>
    <s v="CHECK"/>
    <d v="2024-02-14T00:00:00"/>
    <s v="CHECK 701  "/>
    <n v="-80"/>
    <s v="CHECK_PAID"/>
    <n v="8648.65"/>
    <n v="701"/>
    <x v="0"/>
    <x v="9"/>
    <m/>
  </r>
  <r>
    <s v="Chase0117"/>
    <s v="OldAcct"/>
    <s v="DEBIT"/>
    <d v="2024-01-29T00:00:00"/>
    <s v="ORIG CO NAME:E-ZPASS REBILL         ORIG ID:0000284343 DESC DATE:240128 CO ENTRY DESCR:EZP REBILLSEC:WEB    TRACE#:021000020214309 EED:240129   IND ID:4350174                      IND NAME:COLIN *DEVLIN                                                                                                800-333-8655 TRN: 0290214309TC"/>
    <n v="-80"/>
    <s v="ACH_DEBIT"/>
    <n v="5676.42"/>
    <m/>
    <x v="0"/>
    <x v="9"/>
    <m/>
  </r>
  <r>
    <s v="Chase0117"/>
    <s v="OldAcct"/>
    <s v="DEBIT"/>
    <d v="2024-01-19T00:00:00"/>
    <s v="ORIG CO NAME:E-ZPASS REBILL         ORIG ID:0000284343 DESC DATE:240119 CO ENTRY DESCR:EZP REBILLSEC:WEB    TRACE#:021000026228849 EED:240119   IND ID:1855501                      IND NAME:COLIN *DEVLIN                                                                                                800-333-8655 TRN: 0196228849TC"/>
    <n v="-80"/>
    <s v="ACH_DEBIT"/>
    <n v="19438.88"/>
    <m/>
    <x v="0"/>
    <x v="9"/>
    <m/>
  </r>
  <r>
    <s v="Chase0117"/>
    <s v="OldAcct"/>
    <s v="DEBIT"/>
    <d v="2024-11-07T00:00:00"/>
    <s v="ORIG CO NAME:CHS payrol  6760       ORIG ID:9IA0517397 DESC DATE:241107 CO ENTRY DESCR:BILLING   SEC:CCD    TRACE#:091311175933038 EED:241107   IND ID:842024147                    IND NAME:Devlin Interiors Inc                                                                                         INVOICE TRN: 3125933038TC"/>
    <n v="-70.25"/>
    <s v="ACH_DEBIT"/>
    <n v="56509.46"/>
    <m/>
    <x v="0"/>
    <x v="7"/>
    <m/>
  </r>
  <r>
    <s v="Chase0117"/>
    <s v="OldAcct"/>
    <s v="DEBIT"/>
    <d v="2024-10-17T00:00:00"/>
    <s v="ORIG CO NAME:CHS payrol  6760       ORIG ID:9IA0517397 DESC DATE:241017 CO ENTRY DESCR:BILLING   SEC:CCD    TRACE#:091311170771006 EED:241017   IND ID:842024147                    IND NAME:Devlin Interiors Inc                                                                                         INVOICE TRN: 2910771006TC"/>
    <n v="-70.25"/>
    <s v="ACH_DEBIT"/>
    <n v="31873.96"/>
    <m/>
    <x v="0"/>
    <x v="7"/>
    <m/>
  </r>
  <r>
    <s v="Chase0117"/>
    <s v="OldAcct"/>
    <s v="DEBIT"/>
    <d v="2024-11-12T00:00:00"/>
    <s v="ORIG CO NAME:E-ZPASS REBILL         ORIG ID:0000284343 DESC DATE:241110 CO ENTRY DESCR:EZP REBILLSEC:WEB    TRACE#:021000026605099 EED:241112   IND ID:6754316                      IND NAME:COLIN *DEVLIN                                                                                                800-333-8655 TRN: 3176605099TC"/>
    <n v="-50"/>
    <s v="ACH_DEBIT"/>
    <n v="51726.04"/>
    <m/>
    <x v="0"/>
    <x v="9"/>
    <m/>
  </r>
  <r>
    <s v="Chase0117"/>
    <s v="OldAcct"/>
    <s v="DEBIT"/>
    <d v="2024-10-15T00:00:00"/>
    <s v="ORIG CO NAME:E-ZPASS REBILL         ORIG ID:0000284343 DESC DATE:241015 CO ENTRY DESCR:EZP REBILLSEC:WEB    TRACE#:021000026022767 EED:241015   IND ID:8166949                      IND NAME:COLIN *DEVLIN                                                                                                800-333-8655 TRN: 2896022767TC"/>
    <n v="-50"/>
    <s v="ACH_DEBIT"/>
    <n v="34838.800000000003"/>
    <m/>
    <x v="0"/>
    <x v="9"/>
    <m/>
  </r>
  <r>
    <s v="Chase0117"/>
    <s v="OldAcct"/>
    <s v="DEBIT"/>
    <d v="2024-09-04T00:00:00"/>
    <s v="ORIG CO NAME:CHS payrol  6760       ORIG ID:9IA0517397 DESC DATE:240904 CO ENTRY DESCR:BILLING   SEC:CCD    TRACE#:091311171721741 EED:240904   IND ID:842024147                    IND NAME:Devlin Interiors Inc                                                                                         INVOICE TRN: 2481721741TC"/>
    <n v="-50"/>
    <s v="ACH_DEBIT"/>
    <n v="11944.69"/>
    <m/>
    <x v="0"/>
    <x v="7"/>
    <m/>
  </r>
  <r>
    <s v="Chase0117"/>
    <s v="OldAcct"/>
    <s v="DEBIT"/>
    <d v="2024-08-21T00:00:00"/>
    <s v="ORIG CO NAME:E-ZPASS REBILL         ORIG ID:0000284343 DESC DATE:240821 CO ENTRY DESCR:EZP REBILLSEC:WEB    TRACE#:021000024137530 EED:240821   IND ID:9700726                      IND NAME:COLIN *DEVLIN                                                                                                800-333-8655 TRN: 2344137530TC"/>
    <n v="-50"/>
    <s v="ACH_DEBIT"/>
    <n v="17945.28"/>
    <m/>
    <x v="0"/>
    <x v="9"/>
    <m/>
  </r>
  <r>
    <s v="Chase0117"/>
    <s v="OldAcct"/>
    <s v="DEBIT"/>
    <d v="2024-08-12T00:00:00"/>
    <s v="ORIG CO NAME:E-ZPASS REBILL         ORIG ID:0000284343 DESC DATE:240811 CO ENTRY DESCR:EZP REBILLSEC:WEB    TRACE#:021000023259821 EED:240812   IND ID:6321716                      IND NAME:COLIN *DEVLIN                                                                                                800-333-8655 TRN: 2253259821TC"/>
    <n v="-50"/>
    <s v="ACH_DEBIT"/>
    <n v="3581.96"/>
    <m/>
    <x v="0"/>
    <x v="9"/>
    <m/>
  </r>
  <r>
    <s v="Chase0117"/>
    <s v="OldAcct"/>
    <s v="DEBIT"/>
    <d v="2024-07-29T00:00:00"/>
    <s v="ORIG CO NAME:E-ZPASS REBILL         ORIG ID:0000284343 DESC DATE:240729 CO ENTRY DESCR:EZP REBILLSEC:WEB    TRACE#:021000024283826 EED:240729   IND ID:1912224                      IND NAME:COLIN *DEVLIN                                                                                                800-333-8655 TRN: 2114283826TC"/>
    <n v="-50"/>
    <s v="ACH_DEBIT"/>
    <n v="5330.33"/>
    <m/>
    <x v="0"/>
    <x v="9"/>
    <m/>
  </r>
  <r>
    <s v="Chase0117"/>
    <s v="OldAcct"/>
    <s v="DEBIT"/>
    <d v="2024-07-22T00:00:00"/>
    <s v="ORIG CO NAME:E-ZPASS REBILL         ORIG ID:0000284343 DESC DATE:240721 CO ENTRY DESCR:EZP REBILLSEC:WEB    TRACE#:021000023218858 EED:240722   IND ID:9520363                      IND NAME:COLIN *DEVLIN                                                                                                800-333-8655 TRN: 2043218858TC"/>
    <n v="-50"/>
    <s v="ACH_DEBIT"/>
    <n v="12123.33"/>
    <m/>
    <x v="0"/>
    <x v="9"/>
    <m/>
  </r>
  <r>
    <s v="Chase0117"/>
    <s v="OldAcct"/>
    <s v="DEBIT"/>
    <d v="2024-07-03T00:00:00"/>
    <s v="ORIG CO NAME:CHS payrol  6760       ORIG ID:9IA0517397 DESC DATE:240703 CO ENTRY DESCR:BILLING   SEC:CCD    TRACE#:091311171503471 EED:240703   IND ID:842024147                    IND NAME:Devlin Interiors Inc                                                                                         INVOICE TRN: 1851503471TC"/>
    <n v="-50"/>
    <s v="ACH_DEBIT"/>
    <n v="10845.33"/>
    <m/>
    <x v="0"/>
    <x v="7"/>
    <m/>
  </r>
  <r>
    <s v="Chase0117"/>
    <s v="OldAcct"/>
    <s v="DEBIT"/>
    <d v="2024-06-04T00:00:00"/>
    <s v="ORIG CO NAME:E-ZPASS REBILL         ORIG ID:0000284343 DESC DATE:240604 CO ENTRY DESCR:EZP REBILLSEC:WEB    TRACE#:021000027250070 EED:240604   IND ID:4220464                      IND NAME:COLIN *DEVLIN                                                                                                800-333-8655 TRN: 1567250070TC"/>
    <n v="-50"/>
    <s v="ACH_DEBIT"/>
    <n v="2536.33"/>
    <m/>
    <x v="0"/>
    <x v="9"/>
    <m/>
  </r>
  <r>
    <s v="Chase0117"/>
    <s v="OldAcct"/>
    <s v="DEBIT"/>
    <d v="2024-05-30T00:00:00"/>
    <s v="ORIG CO NAME:NYS DTF SALES          ORIG ID:O146013200 DESC DATE:       CO ENTRY DESCR:Tax PaymntSEC:CCD    TRACE#:091000011009482 EED:240530   IND ID:000000114422211              IND NAME:SW2403871929 TRN: 1511009482TC"/>
    <n v="-50"/>
    <s v="ACH_DEBIT"/>
    <n v="2586.33"/>
    <m/>
    <x v="0"/>
    <x v="5"/>
    <m/>
  </r>
  <r>
    <s v="Chase0117"/>
    <s v="OldAcct"/>
    <s v="DEBIT"/>
    <d v="2024-05-15T00:00:00"/>
    <s v="ORIG CO NAME:E-ZPASS REBILL         ORIG ID:0000284343 DESC DATE:240515 CO ENTRY DESCR:EZP REBILLSEC:WEB    TRACE#:021000025987973 EED:240515   IND ID:7967400                      IND NAME:COLIN *DEVLIN                                                                                                800-333-8655 TRN: 1365987973TC"/>
    <n v="-50"/>
    <s v="ACH_DEBIT"/>
    <n v="8859.33"/>
    <m/>
    <x v="0"/>
    <x v="9"/>
    <m/>
  </r>
  <r>
    <s v="Chase0117"/>
    <s v="OldAcct"/>
    <s v="DEBIT"/>
    <d v="2024-05-02T00:00:00"/>
    <s v="ORIG CO NAME:CHS payrol  6760       ORIG ID:9IA0517397 DESC DATE:240502 CO ENTRY DESCR:BILLING   SEC:CCD    TRACE#:091311175784878 EED:240502   IND ID:842024147                    IND NAME:Devlin Interiors Inc                                                                                         INVOICE TRN: 1235784878TC"/>
    <n v="-50"/>
    <s v="ACH_DEBIT"/>
    <n v="14768.33"/>
    <m/>
    <x v="0"/>
    <x v="7"/>
    <m/>
  </r>
  <r>
    <s v="Chase0117"/>
    <s v="OldAcct"/>
    <s v="DEBIT"/>
    <d v="2024-03-04T00:00:00"/>
    <s v="ORIG CO NAME:CHS payrol  6760       ORIG ID:9IA0517397 DESC DATE:240304 CO ENTRY DESCR:BILLING   SEC:CCD    TRACE#:091311172760400 EED:240304   IND ID:842024147                    IND NAME:Devlin Interiors Inc                                                                                         INVOICE TRN: 0642760400TC"/>
    <n v="-50"/>
    <s v="ACH_DEBIT"/>
    <n v="-1038.8499999999999"/>
    <m/>
    <x v="0"/>
    <x v="7"/>
    <m/>
  </r>
  <r>
    <s v="Chase0117"/>
    <s v="OldAcct"/>
    <s v="DEBIT"/>
    <d v="2024-02-22T00:00:00"/>
    <s v="ORIG CO NAME:E-ZPASS REBILL         ORIG ID:0000284343 DESC DATE:240222 CO ENTRY DESCR:EZP REBILLSEC:WEB    TRACE#:021000021688346 EED:240222   IND ID:2053725                      IND NAME:COLIN *DEVLIN                                                                                                800-333-8655 TRN: 0531688346TC"/>
    <n v="-50"/>
    <s v="ACH_DEBIT"/>
    <n v="7140.15"/>
    <m/>
    <x v="0"/>
    <x v="9"/>
    <m/>
  </r>
  <r>
    <s v="Chase0117"/>
    <s v="OldAcct"/>
    <s v="DEBIT"/>
    <d v="2024-01-03T00:00:00"/>
    <s v="ORIG CO NAME:CHS payrol  6760       ORIG ID:9IA0517397 DESC DATE:240103 CO ENTRY DESCR:BILLING   SEC:CCD    TRACE#:091311170856479 EED:240103   IND ID:842024147                    IND NAME:Devlin Interiors Inc                                                                                         INVOICE TRN: 0030856479TC"/>
    <n v="-50"/>
    <s v="ACH_DEBIT"/>
    <n v="951.19"/>
    <m/>
    <x v="0"/>
    <x v="7"/>
    <m/>
  </r>
  <r>
    <s v="Chase0117"/>
    <s v="OldAcct"/>
    <s v="DEBIT"/>
    <d v="2024-09-30T00:00:00"/>
    <s v="Zelle payment to Christina JPM99aok9pft"/>
    <n v="-44"/>
    <s v="CHASE_TO_PARTNERFI"/>
    <n v="41915.54"/>
    <m/>
    <x v="0"/>
    <x v="0"/>
    <m/>
  </r>
  <r>
    <s v="Chase0117"/>
    <s v="OldAcct"/>
    <s v="DEBIT"/>
    <d v="2024-01-29T00:00:00"/>
    <s v="ORIG CO NAME:AMERICAN EXPRESS       ORIG ID:9493560001 DESC DATE:240129 CO ENTRY DESCR:ACH PMT   SEC:CCD    TRACE#:021000021454700 EED:240129   IND ID:A3338                        IND NAME:colin devlin                                                                                                 AM TRN: 0291454700TC"/>
    <n v="-40.82"/>
    <s v="ACH_DEBIT"/>
    <n v="5635.6"/>
    <m/>
    <x v="0"/>
    <x v="0"/>
    <s v="Credit Card Payment"/>
  </r>
  <r>
    <s v="Chase0117"/>
    <s v="OldAcct"/>
    <s v="DEBIT"/>
    <d v="2024-11-19T00:00:00"/>
    <s v="AMAZON MKTPL*FW4VP6W Amzn.com/bill WA        11/18"/>
    <n v="-40.26"/>
    <s v="DEBIT_CARD"/>
    <n v="76090.39"/>
    <m/>
    <x v="0"/>
    <x v="11"/>
    <m/>
  </r>
  <r>
    <s v="Chase3789"/>
    <s v="NewAcct"/>
    <s v="DEBIT"/>
    <d v="2024-12-12T00:00:00"/>
    <s v="ORIG CO NAME:CHS payrol  6760       ORIG ID:9IA0517397 DESC DATE:241212 CO ENTRY DESCR:BILLING   SEC:CCD    TRACE#:091311173490835 EED:241212   IND ID:842024147                    IND NAME:Devlin Interiors Inc                                                                                         INVOICE TRN: 3473490835TC"/>
    <n v="-40.25"/>
    <s v="ACH_DEBIT"/>
    <n v="55145.599999999999"/>
    <m/>
    <x v="0"/>
    <x v="7"/>
    <m/>
  </r>
  <r>
    <s v="Chase0117"/>
    <s v="OldAcct"/>
    <s v="DEBIT"/>
    <d v="2024-01-08T00:00:00"/>
    <s v="ATM WITHDRAWAL                       002310  01/082245 31ST"/>
    <n v="-40"/>
    <s v="ATM"/>
    <n v="876.19"/>
    <m/>
    <x v="0"/>
    <x v="0"/>
    <m/>
  </r>
  <r>
    <s v="Chase0117"/>
    <s v="OldAcct"/>
    <s v="DEBIT"/>
    <d v="2024-01-05T00:00:00"/>
    <s v="ORIG CO NAME:AMERICAN EXPRESS       ORIG ID:2005032111 DESC DATE:240105 CO ENTRY DESCR:ACH PMT   SEC:CCD    TRACE#:021000026236019 EED:240105   IND ID:M2874                        IND NAME:colin devlin                                                                                                 ER AM TRN: 0056236019TC"/>
    <n v="-35"/>
    <s v="ACH_DEBIT"/>
    <n v="916.19"/>
    <m/>
    <x v="0"/>
    <x v="0"/>
    <s v="Credit Card Payment"/>
  </r>
  <r>
    <s v="Chase0117"/>
    <s v="OldAcct"/>
    <s v="DEBIT"/>
    <d v="2024-09-24T00:00:00"/>
    <s v="OVERDRAFT FEE FOR A $500.00 ITEM - DETAILS: ORIG CO NAME:AMERICAN EXPRESS       ORIG ID:9493560001 DESC DATE:240923 CO ENTRY DESCR:ACH PMT   SEC:CCD    TRACE#:021000028805521 EED:240923   IND ID:A9902                        IND NAME:colin devlin                                                                                                 AM TRN:"/>
    <n v="-34"/>
    <s v="FEE_TRANSACTION"/>
    <n v="-1147.83"/>
    <m/>
    <x v="0"/>
    <x v="0"/>
    <m/>
  </r>
  <r>
    <s v="Chase0117"/>
    <s v="OldAcct"/>
    <s v="DEBIT"/>
    <d v="2024-03-20T00:00:00"/>
    <s v="OVERDRAFT FEE FOR A $25.00 ITEM - DETAILS: ORIG CO NAME:NYS DTF CT             ORIG ID:G146013200 DESC DATE:       CO ENTRY DESCR:Tax PaymntSEC:CCD    TRACE#:091000013398763 EED:240319   IND ID:000000110615367              IND NAME:CL2400631013 TRN: 0793398763TC"/>
    <n v="-34"/>
    <s v="FEE_TRANSACTION"/>
    <n v="-1263.8499999999999"/>
    <m/>
    <x v="0"/>
    <x v="0"/>
    <m/>
  </r>
  <r>
    <s v="Chase0117"/>
    <s v="OldAcct"/>
    <s v="DEBIT"/>
    <d v="2024-03-20T00:00:00"/>
    <s v="OVERDRAFT FEE FOR A $25.00 ITEM - DETAILS: ORIG CO NAME:NYC DEPT OF FINA       ORIG ID:6136400434 DESC DATE:240318 CO ENTRY DESCR:TAXPAYMENTSEC:PPD    TRACE#:051000013237110 EED:240319   IND ID:                             IND NAME:DEVLIN INTERIORS INC TRN: 0793237110TC"/>
    <n v="-34"/>
    <s v="FEE_TRANSACTION"/>
    <n v="-1229.8499999999999"/>
    <m/>
    <x v="0"/>
    <x v="0"/>
    <m/>
  </r>
  <r>
    <s v="Chase0117"/>
    <s v="OldAcct"/>
    <s v="DEBIT"/>
    <d v="2024-03-15T00:00:00"/>
    <s v="OVERDRAFT FEE FOR CHECK #797 IN THE AMOUNT OF $140.00"/>
    <n v="-34"/>
    <s v="FEE_TRANSACTION"/>
    <n v="-1145.8499999999999"/>
    <m/>
    <x v="0"/>
    <x v="0"/>
    <m/>
  </r>
  <r>
    <s v="Chase0117"/>
    <s v="OldAcct"/>
    <s v="DEBIT"/>
    <d v="2024-03-15T00:00:00"/>
    <s v="OVERDRAFT FEE FOR CHECK #799 IN THE AMOUNT OF $140.00"/>
    <n v="-34"/>
    <s v="FEE_TRANSACTION"/>
    <n v="-1111.8499999999999"/>
    <m/>
    <x v="0"/>
    <x v="0"/>
    <m/>
  </r>
  <r>
    <s v="Chase0117"/>
    <s v="OldAcct"/>
    <s v="DEBIT"/>
    <d v="2024-03-06T00:00:00"/>
    <s v="OVERDRAFT FEE FOR A $93.00 ITEM - DETAILS: ORIG CO NAME:AMERICAN EXPRESS       ORIG ID:2005032111 DESC DATE:240305 CO ENTRY DESCR:ACH PMT   SEC:CCD    TRACE#:021000020887450 EED:240305   IND ID:M1874                        IND NAME:colin devlin                                                                                                 ER AM TRN"/>
    <n v="-34"/>
    <s v="FEE_TRANSACTION"/>
    <n v="-929.85"/>
    <m/>
    <x v="0"/>
    <x v="0"/>
    <m/>
  </r>
  <r>
    <s v="Chase0117"/>
    <s v="OldAcct"/>
    <s v="DEBIT"/>
    <d v="2024-03-05T00:00:00"/>
    <s v="OVERDRAFT FEE FOR A $50.00 ITEM - DETAILS: ORIG CO NAME:CHS payrol  6760       ORIG ID:9IA0517397 DESC DATE:240304 CO ENTRY DESCR:BILLING   SEC:CCD    TRACE#:091311172760400 EED:240304   IND ID:842024147                    IND NAME:Devlin Interiors Inc                                                                                         INVOICE T"/>
    <n v="-34"/>
    <s v="FEE_TRANSACTION"/>
    <n v="-895.85"/>
    <m/>
    <x v="0"/>
    <x v="0"/>
    <m/>
  </r>
  <r>
    <s v="Chase0117"/>
    <s v="OldAcct"/>
    <s v="DEBIT"/>
    <d v="2024-03-01T00:00:00"/>
    <s v="OVERDRAFT FEE FOR CHECK #788 IN THE AMOUNT OF $3,965.00"/>
    <n v="-34"/>
    <s v="FEE_TRANSACTION"/>
    <n v="-1338.85"/>
    <m/>
    <x v="0"/>
    <x v="0"/>
    <m/>
  </r>
  <r>
    <s v="Chase0117"/>
    <s v="OldAcct"/>
    <s v="DEBIT"/>
    <d v="2024-01-22T00:00:00"/>
    <s v="OVERDRAFT FEE FOR A $80.00 ITEM - DETAILS: ORIG CO NAME:E-ZPASS REBILL         ORIG ID:0000284343 DESC DATE:240119 CO ENTRY DESCR:EZP REBILLSEC:WEB    TRACE#:021000026228849 EED:240119   IND ID:1855501                      IND NAME:COLIN *DEVLIN                                                                                                800-333-8"/>
    <n v="-34"/>
    <s v="FEE_TRANSACTION"/>
    <n v="19370.88"/>
    <m/>
    <x v="0"/>
    <x v="0"/>
    <m/>
  </r>
  <r>
    <s v="Chase0117"/>
    <s v="OldAcct"/>
    <s v="DEBIT"/>
    <d v="2024-01-22T00:00:00"/>
    <s v="OVERDRAFT FEE FOR CHECK #791 IN THE AMOUNT OF $140.00"/>
    <n v="-34"/>
    <s v="FEE_TRANSACTION"/>
    <n v="19404.88"/>
    <m/>
    <x v="0"/>
    <x v="0"/>
    <m/>
  </r>
  <r>
    <s v="Chase0117"/>
    <s v="OldAcct"/>
    <s v="DEBIT"/>
    <d v="2024-01-17T00:00:00"/>
    <s v="OVERDRAFT FEE FOR A $97.99 ITEM - DETAILS: ORIG CO NAME:INTUIT *               ORIG ID:0000756346 DESC DATE:240113 CO ENTRY DESCR:QBooks OnlSEC:CCD    TRACE#:021000022155186 EED:240116   IND ID:9942879                      IND NAME:DEVLIN INTERIORS INC                                                                                         800-446-8"/>
    <n v="-34"/>
    <s v="FEE_TRANSACTION"/>
    <n v="19658.88"/>
    <m/>
    <x v="0"/>
    <x v="0"/>
    <m/>
  </r>
  <r>
    <s v="Chase0117"/>
    <s v="OldAcct"/>
    <s v="DEBIT"/>
    <d v="2024-01-17T00:00:00"/>
    <s v="OVERDRAFT FEE FOR A $5,369.32 ITEM - DETAILS: ORIG CO NAME:NYSIF                  ORIG ID:9951211000 DESC DATE:JAN 24 CO ENTRY DESCR:WEB_PAY   SEC:WEB    TRACE#:021000021834100 EED:240116   IND ID:01755035122523               IND NAME:COLIN DEVLIN TRN: 0161834100TC"/>
    <n v="-34"/>
    <s v="FEE_TRANSACTION"/>
    <n v="19692.88"/>
    <m/>
    <x v="0"/>
    <x v="0"/>
    <m/>
  </r>
  <r>
    <s v="Chase3789"/>
    <s v="NewAcct"/>
    <s v="DEBIT"/>
    <d v="2024-12-10T00:00:00"/>
    <s v="ORIG CO NAME:CHECK OR SUPPLY        ORIG ID:1410216800 DESC DATE:241206 CO ENTRY DESCR:ORDER     SEC:PPD    TRACE#:042000011997573 EED:241210   IND ID:                             IND NAME:DEVLIN INTERIORS INC TRN: 3451997573TC"/>
    <n v="-30"/>
    <s v="FEE_TRANSACTION"/>
    <n v="57072.73"/>
    <m/>
    <x v="0"/>
    <x v="0"/>
    <m/>
  </r>
  <r>
    <s v="Chase0117"/>
    <s v="OldAcct"/>
    <s v="DEBIT"/>
    <d v="2024-03-05T00:00:00"/>
    <s v="STOP PAYMENT FEE"/>
    <n v="-30"/>
    <s v="FEE_TRANSACTION"/>
    <n v="-861.85"/>
    <m/>
    <x v="0"/>
    <x v="12"/>
    <m/>
  </r>
  <r>
    <s v="Chase0117"/>
    <s v="OldAcct"/>
    <s v="DEBIT"/>
    <d v="2024-02-14T00:00:00"/>
    <s v="STOP PAYMENT FEE"/>
    <n v="-30"/>
    <s v="FEE_TRANSACTION"/>
    <n v="8618.65"/>
    <m/>
    <x v="0"/>
    <x v="12"/>
    <m/>
  </r>
  <r>
    <s v="Chase0117"/>
    <s v="OldAcct"/>
    <s v="DEBIT"/>
    <d v="2024-11-18T00:00:00"/>
    <s v="AMAZON MKTPL*W05TN06 Amzn.com/bill WA        11/16"/>
    <n v="-25.02"/>
    <s v="DEBIT_CARD"/>
    <n v="44024.4"/>
    <m/>
    <x v="0"/>
    <x v="10"/>
    <m/>
  </r>
  <r>
    <s v="Chase0117"/>
    <s v="OldAcct"/>
    <s v="DEBIT"/>
    <d v="2024-03-19T00:00:00"/>
    <s v="ORIG CO NAME:NYS DTF CT             ORIG ID:G146013200 DESC DATE:       CO ENTRY DESCR:Tax PaymntSEC:CCD    TRACE#:091000013398763 EED:240319   IND ID:000000110615367              IND NAME:CL2400631013 TRN: 0793398763TC"/>
    <n v="-25"/>
    <s v="ACH_DEBIT"/>
    <n v="-1195.8499999999999"/>
    <m/>
    <x v="0"/>
    <x v="5"/>
    <m/>
  </r>
  <r>
    <s v="Chase0117"/>
    <s v="OldAcct"/>
    <s v="DEBIT"/>
    <d v="2024-03-19T00:00:00"/>
    <s v="ORIG CO NAME:NYC DEPT OF FINA       ORIG ID:6136400434 DESC DATE:240318 CO ENTRY DESCR:TAXPAYMENTSEC:PPD    TRACE#:051000013237110 EED:240319   IND ID:                             IND NAME:DEVLIN INTERIORS INC TRN: 0793237110TC"/>
    <n v="-25"/>
    <s v="ACH_DEBIT"/>
    <n v="-1170.8499999999999"/>
    <m/>
    <x v="0"/>
    <x v="5"/>
    <m/>
  </r>
  <r>
    <s v="Chase0117"/>
    <s v="OldAcct"/>
    <s v="DEBIT"/>
    <d v="2024-02-15T00:00:00"/>
    <s v="ONLINE DOMESTIC WIRE FEE"/>
    <n v="-25"/>
    <s v="FEE_TRANSACTION"/>
    <n v="6817.56"/>
    <m/>
    <x v="0"/>
    <x v="12"/>
    <m/>
  </r>
  <r>
    <s v="Chase0117"/>
    <s v="OldAcct"/>
    <s v="DEBIT"/>
    <d v="2024-11-01T00:00:00"/>
    <s v="AMAZON MKTPL*YH8PE4R Amzn.com/bill WA        11/01"/>
    <n v="-20.98"/>
    <s v="DEBIT_CARD"/>
    <n v="64860.66"/>
    <m/>
    <x v="0"/>
    <x v="10"/>
    <m/>
  </r>
  <r>
    <s v="Chase3789"/>
    <s v="NewAcct"/>
    <s v="DEBIT"/>
    <d v="2024-12-19T00:00:00"/>
    <s v="ORIG CO NAME:CHS payrol  6760       ORIG ID:9IA0517397 DESC DATE:241219 CO ENTRY DESCR:BILLING   SEC:CCD    TRACE#:091311179810053 EED:241219   IND ID:842024147                    IND NAME:Devlin Interiors Inc                                                                                         INVOICE TRN: 3549810053TC"/>
    <n v="-20.25"/>
    <s v="ACH_DEBIT"/>
    <n v="38517.53"/>
    <m/>
    <x v="0"/>
    <x v="7"/>
    <m/>
  </r>
  <r>
    <s v="Chase0117"/>
    <s v="OldAcct"/>
    <s v="DEBIT"/>
    <d v="2024-11-29T00:00:00"/>
    <s v="ORIG CO NAME:CHS payrol  6760       ORIG ID:9IA0517397 DESC DATE:241129 CO ENTRY DESCR:BILLING   SEC:CCD    TRACE#:091311176596758 EED:241129   IND ID:842024147                    IND NAME:Devlin Interiors Inc                                                                                         INVOICE TRN: 3346596758TC"/>
    <n v="-20.25"/>
    <s v="ACH_DEBIT"/>
    <n v="58847.76"/>
    <m/>
    <x v="0"/>
    <x v="7"/>
    <m/>
  </r>
  <r>
    <s v="Chase0117"/>
    <s v="OldAcct"/>
    <s v="DEBIT"/>
    <d v="2024-11-21T00:00:00"/>
    <s v="ORIG CO NAME:CHS payrol  6760       ORIG ID:9IA0517397 DESC DATE:241121 CO ENTRY DESCR:BILLING   SEC:CCD    TRACE#:091311173717021 EED:241121   IND ID:842024147                    IND NAME:Devlin Interiors Inc                                                                                         INVOICE TRN: 3263717021TC"/>
    <n v="-20.25"/>
    <s v="ACH_DEBIT"/>
    <n v="73251.789999999994"/>
    <m/>
    <x v="0"/>
    <x v="7"/>
    <m/>
  </r>
  <r>
    <s v="Chase0117"/>
    <s v="OldAcct"/>
    <s v="DEBIT"/>
    <d v="2024-11-14T00:00:00"/>
    <s v="ORIG CO NAME:CHS payrol  6760       ORIG ID:9IA0517397 DESC DATE:241114 CO ENTRY DESCR:BILLING   SEC:CCD    TRACE#:091311172381516 EED:241114   IND ID:842024147                    IND NAME:Devlin Interiors Inc                                                                                         INVOICE TRN: 3192381516TC"/>
    <n v="-20.25"/>
    <s v="ACH_DEBIT"/>
    <n v="57438.03"/>
    <m/>
    <x v="0"/>
    <x v="7"/>
    <m/>
  </r>
  <r>
    <s v="Chase0117"/>
    <s v="OldAcct"/>
    <s v="DEBIT"/>
    <d v="2024-10-30T00:00:00"/>
    <s v="ORIG CO NAME:CHS payrol  6760       ORIG ID:9IA0517397 DESC DATE:241030 CO ENTRY DESCR:BILLING   SEC:CCD    TRACE#:091311171986412 EED:241030   IND ID:842024147                    IND NAME:Devlin Interiors Inc                                                                                         INVOICE TRN: 3041986412TC"/>
    <n v="-20.25"/>
    <s v="ACH_DEBIT"/>
    <n v="18483.38"/>
    <m/>
    <x v="0"/>
    <x v="7"/>
    <m/>
  </r>
  <r>
    <s v="Chase0117"/>
    <s v="OldAcct"/>
    <s v="DEBIT"/>
    <d v="2024-10-25T00:00:00"/>
    <s v="ORIG CO NAME:CHS payrol  6760       ORIG ID:9IA0517397 DESC DATE:241025 CO ENTRY DESCR:BILLING   SEC:CCD    TRACE#:091311174568293 EED:241025   IND ID:842024147                    IND NAME:Devlin Interiors Inc                                                                                         INVOICE TRN: 2994568293TC"/>
    <n v="-20.25"/>
    <s v="ACH_DEBIT"/>
    <n v="23146.22"/>
    <m/>
    <x v="0"/>
    <x v="7"/>
    <m/>
  </r>
  <r>
    <s v="Chase0117"/>
    <s v="OldAcct"/>
    <s v="DEBIT"/>
    <d v="2024-01-09T00:00:00"/>
    <s v="SQUARESPACE INC. HTTPSSQUARESP NY            01/09"/>
    <n v="-20"/>
    <s v="DEBIT_CARD"/>
    <n v="856.19"/>
    <m/>
    <x v="0"/>
    <x v="7"/>
    <m/>
  </r>
  <r>
    <s v="Chase0117"/>
    <s v="OldAcct"/>
    <s v="DEBIT"/>
    <d v="2024-09-30T00:00:00"/>
    <s v="MONTHLY SERVICE FEE"/>
    <n v="-15"/>
    <s v="FEE_TRANSACTION"/>
    <n v="39780.54"/>
    <m/>
    <x v="0"/>
    <x v="12"/>
    <m/>
  </r>
  <r>
    <s v="Chase0117"/>
    <s v="OldAcct"/>
    <s v="DEBIT"/>
    <d v="2024-06-28T00:00:00"/>
    <s v="MONTHLY SERVICE FEE"/>
    <n v="-15"/>
    <s v="FEE_TRANSACTION"/>
    <n v="2562.33"/>
    <m/>
    <x v="0"/>
    <x v="12"/>
    <m/>
  </r>
  <r>
    <s v="Chase0117"/>
    <s v="OldAcct"/>
    <s v="DEBIT"/>
    <d v="2024-03-29T00:00:00"/>
    <s v="MONTHLY SERVICE FEE"/>
    <n v="-15"/>
    <s v="FEE_TRANSACTION"/>
    <n v="10227.9"/>
    <m/>
    <x v="0"/>
    <x v="12"/>
    <m/>
  </r>
  <r>
    <s v="Chase0117"/>
    <s v="OldAcct"/>
    <s v="DEBIT"/>
    <d v="2024-01-31T00:00:00"/>
    <s v="MONTHLY SERVICE FEE"/>
    <n v="-15"/>
    <s v="FEE_TRANSACTION"/>
    <n v="5820.6"/>
    <m/>
    <x v="0"/>
    <x v="12"/>
    <m/>
  </r>
  <r>
    <s v="Chase0117"/>
    <s v="OldAcct"/>
    <s v="DEBIT"/>
    <d v="2024-02-07T00:00:00"/>
    <s v="MSFT * E0400QP5VD 800-6427676 WA             02/07"/>
    <n v="-8.98"/>
    <s v="DEBIT_CARD"/>
    <n v="5466.64"/>
    <m/>
    <x v="0"/>
    <x v="10"/>
    <m/>
  </r>
  <r>
    <s v="Chase0117"/>
    <s v="OldAcct"/>
    <s v="DEBIT"/>
    <d v="2024-02-05T00:00:00"/>
    <s v="MSFT * E0400QBDPO 800-6427676 WA             02/04"/>
    <n v="-8.98"/>
    <s v="DEBIT_CARD"/>
    <n v="5475.62"/>
    <m/>
    <x v="0"/>
    <x v="10"/>
    <m/>
  </r>
  <r>
    <s v="Chase3789"/>
    <s v="NewAcct"/>
    <s v="DEBIT"/>
    <d v="2024-12-20T00:00:00"/>
    <s v="APPLE.COM/BILL 866-712-7753 CA               12/20"/>
    <n v="-7.99"/>
    <s v="DEBIT_CARD"/>
    <n v="37229.54"/>
    <m/>
    <x v="0"/>
    <x v="10"/>
    <m/>
  </r>
  <r>
    <s v="Chase0117"/>
    <s v="OldAcct"/>
    <s v="DEBIT"/>
    <d v="2024-11-21T00:00:00"/>
    <s v="APPLE.COM/BILL 866-712-7753 CA               11/20"/>
    <n v="-7.99"/>
    <s v="DEBIT_CARD"/>
    <n v="73882.399999999994"/>
    <m/>
    <x v="0"/>
    <x v="10"/>
    <m/>
  </r>
  <r>
    <s v="Chase0117"/>
    <s v="OldAcct"/>
    <s v="DEBIT"/>
    <d v="2024-10-21T00:00:00"/>
    <s v="APPLE.COM/BILL 866-712-7753 CA               10/20"/>
    <n v="-7.99"/>
    <s v="DEBIT_CARD"/>
    <n v="34703.97"/>
    <m/>
    <x v="0"/>
    <x v="10"/>
    <m/>
  </r>
  <r>
    <s v="Chase0117"/>
    <s v="OldAcct"/>
    <s v="DEBIT"/>
    <d v="2024-09-27T00:00:00"/>
    <s v="APPLE.COM/BILL 866-712-7753 CA               09/26"/>
    <n v="-7.99"/>
    <s v="DEBIT_CARD"/>
    <n v="44642.45"/>
    <m/>
    <x v="0"/>
    <x v="10"/>
    <m/>
  </r>
  <r>
    <s v="Chase3789"/>
    <s v="NewAcct"/>
    <s v="DEBIT"/>
    <d v="2024-12-09T00:00:00"/>
    <s v="APPLE COM BILL CUPERTINO CA          795813  12/08"/>
    <n v="-2.99"/>
    <s v="DEBIT_CARD"/>
    <n v="58464.160000000003"/>
    <m/>
    <x v="0"/>
    <x v="10"/>
    <m/>
  </r>
  <r>
    <s v="Chase0117"/>
    <s v="OldAcct"/>
    <s v="DEBIT"/>
    <d v="2024-11-08T00:00:00"/>
    <s v="APPLE COM BILL CUPERTINO CA          860357  11/08"/>
    <n v="-2.99"/>
    <s v="DEBIT_CARD"/>
    <n v="55506.47"/>
    <m/>
    <x v="0"/>
    <x v="10"/>
    <m/>
  </r>
  <r>
    <s v="Chase0117"/>
    <s v="OldAcct"/>
    <s v="DEBIT"/>
    <d v="2024-10-09T00:00:00"/>
    <s v="APPLE.COM/BILL 866-712-7753 CA               10/08"/>
    <n v="-2.99"/>
    <s v="DEBIT_CARD"/>
    <n v="26867.15"/>
    <m/>
    <x v="0"/>
    <x v="10"/>
    <m/>
  </r>
  <r>
    <s v="Chase3789"/>
    <s v="NewAcct"/>
    <s v="DEBIT"/>
    <d v="2024-12-24T00:00:00"/>
    <s v="ORIG CO NAME:PAYPAL                 ORIG ID:PAYPALRD33 DESC DATE:241224 CO ENTRY DESCR:ACCTVERIFYSEC:PPD    TRACE#:021000021415088 EED:241224   IND ID:                             IND NAME:EDWIN CACERES TRN: 3591415088TC"/>
    <n v="-0.3"/>
    <s v="ACH_DEBIT"/>
    <n v="11501.95"/>
    <m/>
    <x v="1"/>
    <x v="13"/>
    <m/>
  </r>
  <r>
    <s v="Chase3789"/>
    <s v="NewAcct"/>
    <s v="CREDIT"/>
    <d v="2024-12-26T00:00:00"/>
    <s v="ORIG CO NAME:PAYPAL                 ORIG ID:PAYPALRD33 DESC DATE:241225 CO ENTRY DESCR:ACCTVERIFYSEC:PPD    TRACE#:021000029464759 EED:241226   IND ID:                             IND NAME:EDWIN CACERES TRN: 3619464759TC"/>
    <n v="0.13"/>
    <s v="ACH_CREDIT"/>
    <n v="11502.25"/>
    <m/>
    <x v="1"/>
    <x v="13"/>
    <m/>
  </r>
  <r>
    <s v="Chase3789"/>
    <s v="NewAcct"/>
    <s v="CREDIT"/>
    <d v="2024-12-26T00:00:00"/>
    <s v="ORIG CO NAME:PAYPAL                 ORIG ID:PAYPALRD33 DESC DATE:241225 CO ENTRY DESCR:ACCTVERIFYSEC:PPD    TRACE#:021000029464760 EED:241226   IND ID:                             IND NAME:EDWIN CACERES TRN: 3619464760TC"/>
    <n v="0.17"/>
    <s v="ACH_CREDIT"/>
    <n v="11502.12"/>
    <m/>
    <x v="1"/>
    <x v="13"/>
    <m/>
  </r>
  <r>
    <s v="Chase0117"/>
    <s v="OldAcct"/>
    <s v="CREDIT"/>
    <d v="2024-02-01T00:00:00"/>
    <s v="Monthly Service Fee Reversal January 2024"/>
    <n v="15"/>
    <s v="REFUND_TRANSACTION"/>
    <n v="5835.6"/>
    <m/>
    <x v="1"/>
    <x v="14"/>
    <m/>
  </r>
  <r>
    <s v="Chase0117"/>
    <s v="OldAcct"/>
    <s v="CREDIT"/>
    <d v="2024-03-07T00:00:00"/>
    <s v="FEE REVERSAL"/>
    <n v="30"/>
    <s v="REFUND_TRANSACTION"/>
    <n v="-797.85"/>
    <m/>
    <x v="1"/>
    <x v="14"/>
    <m/>
  </r>
  <r>
    <s v="Chase0117"/>
    <s v="OldAcct"/>
    <s v="CREDIT"/>
    <d v="2024-04-04T00:00:00"/>
    <s v="Refund of Overdraft Fee charged on 01/31/2023"/>
    <n v="34"/>
    <s v="REFUND_TRANSACTION"/>
    <n v="9861.9"/>
    <m/>
    <x v="1"/>
    <x v="14"/>
    <m/>
  </r>
  <r>
    <s v="Chase0117"/>
    <s v="OldAcct"/>
    <s v="CREDIT"/>
    <d v="2024-03-07T00:00:00"/>
    <s v="FEE REVERSAL"/>
    <n v="34"/>
    <s v="REFUND_TRANSACTION"/>
    <n v="-827.85"/>
    <m/>
    <x v="1"/>
    <x v="14"/>
    <m/>
  </r>
  <r>
    <s v="Chase0117"/>
    <s v="OldAcct"/>
    <s v="CREDIT"/>
    <d v="2024-03-07T00:00:00"/>
    <s v="FEE REVERSAL"/>
    <n v="34"/>
    <s v="REFUND_TRANSACTION"/>
    <n v="-861.85"/>
    <m/>
    <x v="1"/>
    <x v="14"/>
    <m/>
  </r>
  <r>
    <s v="Chase0117"/>
    <s v="OldAcct"/>
    <s v="CREDIT"/>
    <d v="2024-03-07T00:00:00"/>
    <s v="FEE REVERSAL"/>
    <n v="34"/>
    <s v="REFUND_TRANSACTION"/>
    <n v="-895.85"/>
    <m/>
    <x v="1"/>
    <x v="14"/>
    <m/>
  </r>
  <r>
    <s v="Chase0117"/>
    <s v="OldAcct"/>
    <s v="CREDIT"/>
    <d v="2024-01-23T00:00:00"/>
    <s v="FEE REVERSAL"/>
    <n v="34"/>
    <s v="REFUND_TRANSACTION"/>
    <n v="19472.88"/>
    <m/>
    <x v="1"/>
    <x v="14"/>
    <m/>
  </r>
  <r>
    <s v="Chase0117"/>
    <s v="OldAcct"/>
    <s v="CREDIT"/>
    <d v="2024-01-23T00:00:00"/>
    <s v="FEE REVERSAL"/>
    <n v="34"/>
    <s v="REFUND_TRANSACTION"/>
    <n v="19438.88"/>
    <m/>
    <x v="1"/>
    <x v="14"/>
    <m/>
  </r>
  <r>
    <s v="Chase0117"/>
    <s v="OldAcct"/>
    <s v="CREDIT"/>
    <d v="2024-01-23T00:00:00"/>
    <s v="FEE REVERSAL"/>
    <n v="34"/>
    <s v="REFUND_TRANSACTION"/>
    <n v="19404.88"/>
    <m/>
    <x v="1"/>
    <x v="14"/>
    <m/>
  </r>
  <r>
    <s v="Chase0117"/>
    <s v="OldAcct"/>
    <s v="CREDIT"/>
    <d v="2024-12-02T00:00:00"/>
    <s v="Zelle payment from CHRISTINA ALFARO BACp7uugzhin"/>
    <n v="100"/>
    <s v="PARTNERFI_TO_CHASE"/>
    <n v="57586.33"/>
    <m/>
    <x v="1"/>
    <x v="0"/>
    <m/>
  </r>
  <r>
    <s v="Chase0117"/>
    <s v="OldAcct"/>
    <s v="CREDIT"/>
    <d v="2024-04-16T00:00:00"/>
    <s v="Zelle payment from CHRISTINA ALFARO BACmx2q1gult"/>
    <n v="140"/>
    <s v="PARTNERFI_TO_CHASE"/>
    <n v="6573.31"/>
    <m/>
    <x v="1"/>
    <x v="0"/>
    <m/>
  </r>
  <r>
    <s v="Chase0117"/>
    <s v="OldAcct"/>
    <s v="CREDIT"/>
    <d v="2024-03-27T00:00:00"/>
    <s v="Zelle payment from CHRISTINA ALFARO BACpxhlp821i"/>
    <n v="140"/>
    <s v="PARTNERFI_TO_CHASE"/>
    <n v="3742.9"/>
    <m/>
    <x v="1"/>
    <x v="0"/>
    <m/>
  </r>
  <r>
    <s v="Chase0117"/>
    <s v="OldAcct"/>
    <s v="CREDIT"/>
    <d v="2024-01-02T00:00:00"/>
    <s v="Zelle payment from CHRISTINA ALFARO BACnhv8ap2sd"/>
    <n v="140"/>
    <s v="PARTNERFI_TO_CHASE"/>
    <n v="1001.19"/>
    <m/>
    <x v="1"/>
    <x v="0"/>
    <m/>
  </r>
  <r>
    <s v="Chase0117"/>
    <s v="OldAcct"/>
    <s v="CREDIT"/>
    <d v="2024-07-22T00:00:00"/>
    <s v="Zelle payment from CHRISTINA ALFARO BACmcfs2rwfg"/>
    <n v="150"/>
    <s v="PARTNERFI_TO_CHASE"/>
    <n v="12173.33"/>
    <m/>
    <x v="1"/>
    <x v="0"/>
    <m/>
  </r>
  <r>
    <s v="Chase0117"/>
    <s v="OldAcct"/>
    <s v="CREDIT"/>
    <d v="2024-01-10T00:00:00"/>
    <s v="Online Transfer from CHK ...9199 transaction#: 19541185020"/>
    <n v="180"/>
    <s v="ACCT_XFER"/>
    <n v="1036.19"/>
    <m/>
    <x v="1"/>
    <x v="0"/>
    <m/>
  </r>
  <r>
    <s v="Chase0117"/>
    <s v="OldAcct"/>
    <s v="CREDIT"/>
    <d v="2024-01-30T00:00:00"/>
    <s v="Zelle payment from CHRISTINA ALFARO BAClv8sywyzv"/>
    <n v="200"/>
    <s v="PARTNERFI_TO_CHASE"/>
    <n v="5835.6"/>
    <m/>
    <x v="1"/>
    <x v="0"/>
    <m/>
  </r>
  <r>
    <s v="Chase0117"/>
    <s v="OldAcct"/>
    <s v="CREDIT"/>
    <d v="2024-03-05T00:00:00"/>
    <s v="Zelle payment from CHRISTINA ALFARO BACqf6dq62bh"/>
    <n v="300"/>
    <s v="PARTNERFI_TO_CHASE"/>
    <n v="-738.85"/>
    <m/>
    <x v="1"/>
    <x v="0"/>
    <m/>
  </r>
  <r>
    <s v="Chase0117"/>
    <s v="OldAcct"/>
    <s v="DSLIP"/>
    <d v="2024-11-18T00:00:00"/>
    <s v="REMOTE ONLINE DEPOSIT #          1"/>
    <n v="350"/>
    <s v="CHECK_DEPOSIT"/>
    <n v="44049.42"/>
    <n v="1"/>
    <x v="1"/>
    <x v="3"/>
    <m/>
  </r>
  <r>
    <s v="Chase0117"/>
    <s v="OldAcct"/>
    <s v="CREDIT"/>
    <d v="2024-03-04T00:00:00"/>
    <s v="Online Transfer from CHK ...9199 transaction#: 20056029668"/>
    <n v="350"/>
    <s v="ACCT_XFER"/>
    <n v="-988.85"/>
    <m/>
    <x v="1"/>
    <x v="0"/>
    <m/>
  </r>
  <r>
    <s v="Chase0117"/>
    <s v="OldAcct"/>
    <s v="CREDIT"/>
    <d v="2024-05-24T00:00:00"/>
    <s v="Online Transfer from CHK ...9199 transaction#: 20872220389"/>
    <n v="500"/>
    <s v="ACCT_XFER"/>
    <n v="2976.33"/>
    <m/>
    <x v="1"/>
    <x v="0"/>
    <m/>
  </r>
  <r>
    <s v="Chase0117"/>
    <s v="OldAcct"/>
    <s v="DSLIP"/>
    <d v="2024-03-21T00:00:00"/>
    <s v="REMOTE ONLINE DEPOSIT #          1"/>
    <n v="634.75"/>
    <s v="CHECK_DEPOSIT"/>
    <n v="-629.1"/>
    <n v="1"/>
    <x v="1"/>
    <x v="3"/>
    <m/>
  </r>
  <r>
    <s v="Chase0117"/>
    <s v="OldAcct"/>
    <s v="CREDIT"/>
    <d v="2024-09-19T00:00:00"/>
    <s v="Online Transfer from CHK ...9199 transaction#: 22110230818"/>
    <n v="680"/>
    <s v="ACCT_XFER"/>
    <n v="2500.37"/>
    <m/>
    <x v="1"/>
    <x v="0"/>
    <m/>
  </r>
  <r>
    <s v="Chase0117"/>
    <s v="OldAcct"/>
    <s v="DSLIP"/>
    <d v="2024-01-16T00:00:00"/>
    <s v="REMOTE ONLINE DEPOSIT #          1"/>
    <n v="680"/>
    <s v="CHECK_DEPOSIT"/>
    <n v="25194.19"/>
    <n v="1"/>
    <x v="1"/>
    <x v="3"/>
    <m/>
  </r>
  <r>
    <s v="Chase0117"/>
    <s v="OldAcct"/>
    <s v="CREDIT"/>
    <d v="2024-06-17T00:00:00"/>
    <s v="Online Transfer from CHK ...9199 transaction#: 21116226877"/>
    <n v="700"/>
    <s v="ACCT_XFER"/>
    <n v="836.33"/>
    <m/>
    <x v="1"/>
    <x v="0"/>
    <m/>
  </r>
  <r>
    <s v="Chase0117"/>
    <s v="OldAcct"/>
    <s v="CREDIT"/>
    <d v="2024-10-15T00:00:00"/>
    <s v="Zelle payment from ART OF METALS CONTRACTORS CORP 22362290024"/>
    <n v="950"/>
    <s v="QUICKPAY_CREDIT"/>
    <n v="37763.800000000003"/>
    <m/>
    <x v="1"/>
    <x v="3"/>
    <m/>
  </r>
  <r>
    <s v="Chase0117"/>
    <s v="OldAcct"/>
    <s v="CREDIT"/>
    <d v="2024-06-20T00:00:00"/>
    <s v="Zelle payment from FRIENDS' HOME ASSOCIATION OF NEW YORK 21153304410"/>
    <n v="984"/>
    <s v="QUICKPAY_CREDIT"/>
    <n v="7820.33"/>
    <m/>
    <x v="1"/>
    <x v="3"/>
    <m/>
  </r>
  <r>
    <s v="Chase0117"/>
    <s v="OldAcct"/>
    <s v="CREDIT"/>
    <d v="2024-06-18T00:00:00"/>
    <s v="Zelle payment from FRIENDS' HOME ASSOCIATION OF NEW YORK 21134045418"/>
    <n v="1000"/>
    <s v="QUICKPAY_CREDIT"/>
    <n v="1836.33"/>
    <m/>
    <x v="1"/>
    <x v="3"/>
    <m/>
  </r>
  <r>
    <s v="Chase0117"/>
    <s v="OldAcct"/>
    <s v="CREDIT"/>
    <d v="2024-02-26T00:00:00"/>
    <s v="Online Transfer from CHK ...9199 transaction#: 19976955522"/>
    <n v="1200"/>
    <s v="ACCT_XFER"/>
    <n v="8340.15"/>
    <m/>
    <x v="1"/>
    <x v="0"/>
    <m/>
  </r>
  <r>
    <s v="Chase0117"/>
    <s v="OldAcct"/>
    <s v="CREDIT"/>
    <d v="2024-06-12T00:00:00"/>
    <s v="Online Transfer from CHK ...9199 transaction#: 21072972910"/>
    <n v="1400"/>
    <s v="ACCT_XFER"/>
    <n v="3936.33"/>
    <m/>
    <x v="1"/>
    <x v="0"/>
    <m/>
  </r>
  <r>
    <s v="Chase0117"/>
    <s v="OldAcct"/>
    <s v="CREDIT"/>
    <d v="2024-02-20T00:00:00"/>
    <s v="Zelle payment from CHRISTINA ALFARO BACk5mxeax40"/>
    <n v="1456"/>
    <s v="PARTNERFI_TO_CHASE"/>
    <n v="8273.56"/>
    <m/>
    <x v="1"/>
    <x v="0"/>
    <m/>
  </r>
  <r>
    <s v="Chase0117"/>
    <s v="OldAcct"/>
    <s v="CREDIT"/>
    <d v="2024-01-29T00:00:00"/>
    <s v="Online Transfer from CHK ...9199 transaction#: 19706632049"/>
    <n v="1500"/>
    <s v="ACCT_XFER"/>
    <n v="5756.42"/>
    <m/>
    <x v="1"/>
    <x v="0"/>
    <m/>
  </r>
  <r>
    <s v="Chase0117"/>
    <s v="OldAcct"/>
    <s v="CREDIT"/>
    <d v="2024-10-15T00:00:00"/>
    <s v="ATM CHECK DEPOSIT 10/14 2245 31ST ST ASTORIA NY"/>
    <n v="1592"/>
    <s v="ATM_DEPOSIT"/>
    <n v="31813.8"/>
    <m/>
    <x v="1"/>
    <x v="3"/>
    <m/>
  </r>
  <r>
    <s v="Chase0117"/>
    <s v="OldAcct"/>
    <s v="CREDIT"/>
    <d v="2024-11-01T00:00:00"/>
    <s v="Zelle payment from CHRISTINA ALFARO BACre1dicuhd"/>
    <n v="1700"/>
    <s v="PARTNERFI_TO_CHASE"/>
    <n v="64881.64"/>
    <m/>
    <x v="1"/>
    <x v="0"/>
    <m/>
  </r>
  <r>
    <s v="Chase0117"/>
    <s v="OldAcct"/>
    <s v="DSLIP"/>
    <d v="2024-11-12T00:00:00"/>
    <s v="REMOTE ONLINE DEPOSIT #          1"/>
    <n v="1931"/>
    <s v="CHECK_DEPOSIT"/>
    <n v="53276.04"/>
    <n v="1"/>
    <x v="1"/>
    <x v="3"/>
    <m/>
  </r>
  <r>
    <s v="Chase0117"/>
    <s v="OldAcct"/>
    <s v="CREDIT"/>
    <d v="2024-09-27T00:00:00"/>
    <s v="Zelle payment from THORNHEDGE GROUP LLC-SERIES B 22186930194"/>
    <n v="2062.5"/>
    <s v="QUICKPAY_CREDIT"/>
    <n v="44650.44"/>
    <m/>
    <x v="1"/>
    <x v="3"/>
    <m/>
  </r>
  <r>
    <s v="Chase0117"/>
    <s v="OldAcct"/>
    <s v="DSLIP"/>
    <d v="2024-10-23T00:00:00"/>
    <s v="REMOTE ONLINE DEPOSIT #          1"/>
    <n v="2277"/>
    <s v="CHECK_DEPOSIT"/>
    <n v="23547.51"/>
    <n v="1"/>
    <x v="1"/>
    <x v="3"/>
    <m/>
  </r>
  <r>
    <s v="Chase3789"/>
    <s v="NewAcct"/>
    <s v="DSLIP"/>
    <d v="2024-12-09T00:00:00"/>
    <s v="REMOTE ONLINE DEPOSIT #          1"/>
    <n v="2300"/>
    <s v="CHECK_DEPOSIT"/>
    <n v="58867.15"/>
    <n v="1"/>
    <x v="1"/>
    <x v="3"/>
    <m/>
  </r>
  <r>
    <s v="Chase0117"/>
    <s v="OldAcct"/>
    <s v="CREDIT"/>
    <d v="2024-08-26T00:00:00"/>
    <s v="Zelle payment from ZH ARCHITECTS P.C. 21847348016"/>
    <n v="2330"/>
    <s v="QUICKPAY_CREDIT"/>
    <n v="18454.689999999999"/>
    <m/>
    <x v="1"/>
    <x v="3"/>
    <m/>
  </r>
  <r>
    <s v="Chase0117"/>
    <s v="OldAcct"/>
    <s v="CREDIT"/>
    <d v="2024-02-15T00:00:00"/>
    <s v="Zelle payment from Lawrence Ennis MSPXMN3ZOq76"/>
    <n v="2472.5"/>
    <s v="PARTNERFI_TO_CHASE"/>
    <n v="11091.15"/>
    <m/>
    <x v="1"/>
    <x v="3"/>
    <m/>
  </r>
  <r>
    <s v="Chase0117"/>
    <s v="OldAcct"/>
    <s v="CREDIT"/>
    <d v="2024-01-29T00:00:00"/>
    <s v="Zelle payment from Lawrence Ennis MSPLLFNPaaWa"/>
    <n v="2472.5"/>
    <s v="PARTNERFI_TO_CHASE"/>
    <n v="4256.42"/>
    <m/>
    <x v="1"/>
    <x v="3"/>
    <m/>
  </r>
  <r>
    <s v="Chase0117"/>
    <s v="OldAcct"/>
    <s v="DSLIP"/>
    <d v="2024-07-11T00:00:00"/>
    <s v="REMOTE ONLINE DEPOSIT #          1"/>
    <n v="2500"/>
    <s v="CHECK_DEPOSIT"/>
    <n v="12523.33"/>
    <n v="1"/>
    <x v="1"/>
    <x v="3"/>
    <m/>
  </r>
  <r>
    <s v="Chase0117"/>
    <s v="OldAcct"/>
    <s v="DSLIP"/>
    <d v="2024-11-14T00:00:00"/>
    <s v="REMOTE ONLINE DEPOSIT #          1"/>
    <n v="2626"/>
    <s v="CHECK_DEPOSIT"/>
    <n v="58071.040000000001"/>
    <n v="1"/>
    <x v="1"/>
    <x v="3"/>
    <m/>
  </r>
  <r>
    <s v="Chase0117"/>
    <s v="OldAcct"/>
    <s v="DSLIP"/>
    <d v="2024-11-01T00:00:00"/>
    <s v="REMOTE ONLINE DEPOSIT #          1"/>
    <n v="2647"/>
    <s v="CHECK_DEPOSIT"/>
    <n v="63181.64"/>
    <n v="1"/>
    <x v="1"/>
    <x v="3"/>
    <m/>
  </r>
  <r>
    <s v="Chase0117"/>
    <s v="OldAcct"/>
    <s v="CREDIT"/>
    <d v="2024-08-26T00:00:00"/>
    <s v="ATM CHECK DEPOSIT 08/26 1003 LEXINGTON AVE NEW YORK NY"/>
    <n v="2668"/>
    <s v="ATM_DEPOSIT"/>
    <n v="16124.69"/>
    <m/>
    <x v="1"/>
    <x v="3"/>
    <m/>
  </r>
  <r>
    <s v="Chase0117"/>
    <s v="OldAcct"/>
    <s v="CREDIT"/>
    <d v="2024-08-21T00:00:00"/>
    <s v="Zelle payment from CHRISTINA R ALFARO 21794857316"/>
    <n v="2870.73"/>
    <s v="QUICKPAY_CREDIT"/>
    <n v="18649.689999999999"/>
    <m/>
    <x v="1"/>
    <x v="0"/>
    <m/>
  </r>
  <r>
    <s v="Chase0117"/>
    <s v="OldAcct"/>
    <s v="DSLIP"/>
    <d v="2024-08-05T00:00:00"/>
    <s v="REMOTE ONLINE DEPOSIT #          1"/>
    <n v="2887"/>
    <s v="CHECK_DEPOSIT"/>
    <n v="6531.96"/>
    <n v="1"/>
    <x v="1"/>
    <x v="3"/>
    <m/>
  </r>
  <r>
    <s v="Chase0117"/>
    <s v="OldAcct"/>
    <s v="CREDIT"/>
    <d v="2024-09-30T00:00:00"/>
    <s v="Zelle payment from THORNHEDGE GROUP LLC-SERIES B 22204361403"/>
    <n v="2937.5"/>
    <s v="QUICKPAY_CREDIT"/>
    <n v="42579.95"/>
    <m/>
    <x v="1"/>
    <x v="3"/>
    <m/>
  </r>
  <r>
    <s v="Chase0117"/>
    <s v="OldAcct"/>
    <s v="CREDIT"/>
    <d v="2024-09-27T00:00:00"/>
    <s v="Zelle payment from THORNHEDGE GROUP LLC-SERIES B 22186885841"/>
    <n v="2937.5"/>
    <s v="QUICKPAY_CREDIT"/>
    <n v="42587.94"/>
    <m/>
    <x v="1"/>
    <x v="3"/>
    <m/>
  </r>
  <r>
    <s v="Chase0117"/>
    <s v="OldAcct"/>
    <s v="DSLIP"/>
    <d v="2024-01-16T00:00:00"/>
    <s v="REMOTE ONLINE DEPOSIT #          1"/>
    <n v="3015"/>
    <s v="CHECK_DEPOSIT"/>
    <n v="24514.19"/>
    <n v="1"/>
    <x v="1"/>
    <x v="3"/>
    <m/>
  </r>
  <r>
    <s v="Chase0117"/>
    <s v="OldAcct"/>
    <s v="CREDIT"/>
    <d v="2024-02-09T00:00:00"/>
    <s v="Zelle payment from CHRISTINA ALFARO BACeu8y2zmhr"/>
    <n v="3500"/>
    <s v="PARTNERFI_TO_CHASE"/>
    <n v="8966.64"/>
    <m/>
    <x v="1"/>
    <x v="0"/>
    <m/>
  </r>
  <r>
    <s v="Chase0117"/>
    <s v="OldAcct"/>
    <s v="DSLIP"/>
    <d v="2024-11-14T00:00:00"/>
    <s v="REMOTE ONLINE DEPOSIT #          1"/>
    <n v="3719"/>
    <s v="CHECK_DEPOSIT"/>
    <n v="55445.04"/>
    <n v="1"/>
    <x v="1"/>
    <x v="3"/>
    <m/>
  </r>
  <r>
    <s v="Chase0117"/>
    <s v="OldAcct"/>
    <s v="CREDIT"/>
    <d v="2024-10-16T00:00:00"/>
    <s v="Zelle payment from THORNHEDGE GROUP LLC-SERIES B 22400133940"/>
    <n v="4087.5"/>
    <s v="QUICKPAY_CREDIT"/>
    <n v="38926.300000000003"/>
    <m/>
    <x v="1"/>
    <x v="3"/>
    <m/>
  </r>
  <r>
    <s v="Chase3789"/>
    <s v="NewAcct"/>
    <s v="DSLIP"/>
    <d v="2024-12-04T00:00:00"/>
    <s v="REMOTE ONLINE DEPOSIT #          1"/>
    <n v="4188"/>
    <s v="CHECK_DEPOSIT"/>
    <n v="59290.01"/>
    <n v="1"/>
    <x v="1"/>
    <x v="3"/>
    <m/>
  </r>
  <r>
    <s v="Chase0117"/>
    <s v="OldAcct"/>
    <s v="DSLIP"/>
    <d v="2024-05-15T00:00:00"/>
    <s v="REMOTE ONLINE DEPOSIT #          1"/>
    <n v="4372"/>
    <s v="CHECK_DEPOSIT"/>
    <n v="9329.33"/>
    <n v="1"/>
    <x v="1"/>
    <x v="3"/>
    <m/>
  </r>
  <r>
    <s v="Chase0117"/>
    <s v="OldAcct"/>
    <s v="DSLIP"/>
    <d v="2024-03-25T00:00:00"/>
    <s v="REMOTE ONLINE DEPOSIT #          1"/>
    <n v="4372"/>
    <s v="CHECK_DEPOSIT"/>
    <n v="3742.9"/>
    <n v="1"/>
    <x v="1"/>
    <x v="3"/>
    <m/>
  </r>
  <r>
    <s v="Chase0117"/>
    <s v="OldAcct"/>
    <s v="DSLIP"/>
    <d v="2024-09-25T00:00:00"/>
    <s v="REMOTE ONLINE DEPOSIT #          1"/>
    <n v="4542"/>
    <s v="CHECK_DEPOSIT"/>
    <n v="42050.44"/>
    <n v="1"/>
    <x v="1"/>
    <x v="3"/>
    <m/>
  </r>
  <r>
    <s v="Chase0117"/>
    <s v="OldAcct"/>
    <s v="DSLIP"/>
    <d v="2024-10-21T00:00:00"/>
    <s v="REMOTE ONLINE DEPOSIT #          1"/>
    <n v="4838"/>
    <s v="CHECK_DEPOSIT"/>
    <n v="34711.96"/>
    <n v="1"/>
    <x v="1"/>
    <x v="3"/>
    <m/>
  </r>
  <r>
    <s v="Chase0117"/>
    <s v="OldAcct"/>
    <s v="CREDIT"/>
    <d v="2024-10-15T00:00:00"/>
    <s v="Zelle payment from THORNHEDGE GROUP LLC-SERIES B 22389778826"/>
    <n v="5000"/>
    <s v="QUICKPAY_CREDIT"/>
    <n v="36813.800000000003"/>
    <m/>
    <x v="1"/>
    <x v="3"/>
    <m/>
  </r>
  <r>
    <s v="Chase0117"/>
    <s v="OldAcct"/>
    <s v="CREDIT"/>
    <d v="2024-08-15T00:00:00"/>
    <s v="Zelle payment from ZH ARCHITECTS P.C. 21739203535"/>
    <n v="5000"/>
    <s v="QUICKPAY_CREDIT"/>
    <n v="12681.96"/>
    <m/>
    <x v="1"/>
    <x v="3"/>
    <m/>
  </r>
  <r>
    <s v="Chase0117"/>
    <s v="OldAcct"/>
    <s v="CREDIT"/>
    <d v="2024-08-14T00:00:00"/>
    <s v="Zelle payment from ZH ARCHITECTS P.C. 21725956804"/>
    <n v="5000"/>
    <s v="QUICKPAY_CREDIT"/>
    <n v="7681.96"/>
    <m/>
    <x v="1"/>
    <x v="3"/>
    <m/>
  </r>
  <r>
    <s v="Chase0117"/>
    <s v="OldAcct"/>
    <s v="CREDIT"/>
    <d v="2024-06-20T00:00:00"/>
    <s v="Zelle payment from FRIENDS' HOME ASSOCIATION OF NEW YORK 21145063946"/>
    <n v="5000"/>
    <s v="QUICKPAY_CREDIT"/>
    <n v="6836.33"/>
    <m/>
    <x v="1"/>
    <x v="3"/>
    <m/>
  </r>
  <r>
    <s v="Chase0117"/>
    <s v="OldAcct"/>
    <s v="CREDIT"/>
    <d v="2024-04-08T00:00:00"/>
    <s v="Zelle payment from LAWRENCE MAISEL BACtngolvogt"/>
    <n v="5000"/>
    <s v="PARTNERFI_TO_CHASE"/>
    <n v="14861.9"/>
    <m/>
    <x v="1"/>
    <x v="3"/>
    <m/>
  </r>
  <r>
    <s v="Chase0117"/>
    <s v="OldAcct"/>
    <s v="DSLIP"/>
    <d v="2024-08-21T00:00:00"/>
    <s v="REMOTE ONLINE DEPOSIT #          1"/>
    <n v="5097"/>
    <s v="CHECK_DEPOSIT"/>
    <n v="15778.96"/>
    <n v="1"/>
    <x v="1"/>
    <x v="3"/>
    <m/>
  </r>
  <r>
    <s v="Chase0117"/>
    <s v="OldAcct"/>
    <s v="DSLIP"/>
    <d v="2024-07-11T00:00:00"/>
    <s v="REMOTE ONLINE DEPOSIT #          1"/>
    <n v="5097"/>
    <s v="CHECK_DEPOSIT"/>
    <n v="10023.33"/>
    <n v="1"/>
    <x v="1"/>
    <x v="3"/>
    <m/>
  </r>
  <r>
    <s v="Chase0117"/>
    <s v="OldAcct"/>
    <s v="DSLIP"/>
    <d v="2024-11-05T00:00:00"/>
    <s v="REMOTE ONLINE DEPOSIT #          1"/>
    <n v="6000"/>
    <s v="CHECK_DEPOSIT"/>
    <n v="62200.87"/>
    <n v="1"/>
    <x v="1"/>
    <x v="3"/>
    <m/>
  </r>
  <r>
    <s v="Chase0117"/>
    <s v="OldAcct"/>
    <s v="DSLIP"/>
    <d v="2024-11-25T00:00:00"/>
    <s v="REMOTE ONLINE DEPOSIT #          1"/>
    <n v="7017"/>
    <s v="CHECK_DEPOSIT"/>
    <n v="79689.899999999994"/>
    <n v="1"/>
    <x v="1"/>
    <x v="3"/>
    <m/>
  </r>
  <r>
    <s v="Chase0117"/>
    <s v="OldAcct"/>
    <s v="DSLIP"/>
    <d v="2024-11-25T00:00:00"/>
    <s v="REMOTE ONLINE DEPOSIT #          1"/>
    <n v="7244"/>
    <s v="CHECK_DEPOSIT"/>
    <n v="72672.899999999994"/>
    <n v="1"/>
    <x v="1"/>
    <x v="3"/>
    <m/>
  </r>
  <r>
    <s v="Chase0117"/>
    <s v="OldAcct"/>
    <s v="DSLIP"/>
    <d v="2024-03-29T00:00:00"/>
    <s v="REMOTE ONLINE DEPOSIT #          1"/>
    <n v="8800"/>
    <s v="CHECK_DEPOSIT"/>
    <n v="12342.9"/>
    <n v="1"/>
    <x v="1"/>
    <x v="3"/>
    <m/>
  </r>
  <r>
    <s v="Chase0117"/>
    <s v="OldAcct"/>
    <s v="CREDIT"/>
    <d v="2024-07-03T00:00:00"/>
    <s v="ATM CHECK DEPOSIT 07/03 3818 BROADWAY ASTORIA NY"/>
    <n v="8833"/>
    <s v="ATM_DEPOSIT"/>
    <n v="10895.33"/>
    <m/>
    <x v="1"/>
    <x v="3"/>
    <m/>
  </r>
  <r>
    <s v="Chase0117"/>
    <s v="OldAcct"/>
    <s v="DSLIP"/>
    <d v="2024-04-29T00:00:00"/>
    <s v="REMOTE ONLINE DEPOSIT #          1"/>
    <n v="10743"/>
    <s v="CHECK_DEPOSIT"/>
    <n v="14818.33"/>
    <n v="1"/>
    <x v="1"/>
    <x v="3"/>
    <m/>
  </r>
  <r>
    <s v="Chase0117"/>
    <s v="OldAcct"/>
    <s v="CREDIT"/>
    <d v="2024-09-09T00:00:00"/>
    <s v="ATM CHECK DEPOSIT 09/09 204 W 4TH ST NEW YORK NY"/>
    <n v="15560"/>
    <s v="ATM_DEPOSIT"/>
    <n v="25004.69"/>
    <m/>
    <x v="1"/>
    <x v="3"/>
    <m/>
  </r>
  <r>
    <s v="Chase0117"/>
    <s v="OldAcct"/>
    <s v="CREDIT"/>
    <d v="2024-10-15T00:00:00"/>
    <s v="ATM CHECK DEPOSIT 10/14 2245 31ST ST ASTORIA NY"/>
    <n v="20009.5"/>
    <s v="ATM_DEPOSIT"/>
    <n v="30221.8"/>
    <m/>
    <x v="1"/>
    <x v="3"/>
    <m/>
  </r>
  <r>
    <s v="Chase0117"/>
    <s v="OldAcct"/>
    <s v="DSLIP"/>
    <d v="2024-01-16T00:00:00"/>
    <s v="REMOTE ONLINE DEPOSIT #          1"/>
    <n v="21094"/>
    <s v="CHECK_DEPOSIT"/>
    <n v="21499.19"/>
    <n v="1"/>
    <x v="1"/>
    <x v="3"/>
    <m/>
  </r>
  <r>
    <s v="Chase0117"/>
    <s v="OldAcct"/>
    <s v="CREDIT"/>
    <d v="2024-11-19T00:00:00"/>
    <s v="ATM CHECK DEPOSIT 11/19 2245 31ST ST ASTORIA NY"/>
    <n v="38656.269999999997"/>
    <s v="ATM_DEPOSIT"/>
    <n v="76130.649999999994"/>
    <m/>
    <x v="1"/>
    <x v="3"/>
    <m/>
  </r>
  <r>
    <s v="Chase0117"/>
    <s v="OldAcct"/>
    <s v="DSLIP"/>
    <d v="2024-09-25T00:00:00"/>
    <s v="REMOTE ONLINE DEPOSIT #          1"/>
    <n v="38656.269999999997"/>
    <s v="CHECK_DEPOSIT"/>
    <n v="37508.44"/>
    <n v="1"/>
    <x v="1"/>
    <x v="3"/>
    <m/>
  </r>
  <r>
    <s v="Chase0117"/>
    <s v="OldAcct"/>
    <s v="DSLIP"/>
    <d v="2024-10-31T00:00:00"/>
    <s v="DEPOSIT  ID NUMBER  84045"/>
    <n v="44951.26"/>
    <s v="DEPOSIT"/>
    <n v="63434.64"/>
    <m/>
    <x v="1"/>
    <x v="3"/>
    <m/>
  </r>
  <r>
    <s v="Chase3789"/>
    <s v="NewAcct"/>
    <s v="CREDIT"/>
    <d v="2024-12-03T00:00:00"/>
    <s v="BALANCE TRANSFER CREDIT"/>
    <n v="55102.01"/>
    <s v="MISC_CREDIT"/>
    <n v="55102.01"/>
    <m/>
    <x v="1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D0479-31F3-4CC7-A6AF-0430E2F6CC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9" firstHeaderRow="1" firstDataRow="1" firstDataCol="1"/>
  <pivotFields count="9"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axis="axisRow" showAll="0">
      <items count="365">
        <item x="65"/>
        <item x="71"/>
        <item x="97"/>
        <item x="116"/>
        <item x="35"/>
        <item x="86"/>
        <item x="167"/>
        <item x="147"/>
        <item x="124"/>
        <item x="62"/>
        <item x="12"/>
        <item n="ATM CHECK DEPOSIT 07/03 3818 BROADWAY an" x="245"/>
        <item n="ATM CHECK DEPOSIT 08/26 1003 LEXINGTON AVE n" x="206"/>
        <item n="ATM CHECK DEPOSIT 09/09 204 W 4TH ST n" x="191"/>
        <item n="ATM CHECK DEPOSIT 10/14 2245 31ST ST an" x="139"/>
        <item n="ATM CHECK DEPOSIT 11/19 2245 31ST ST an" x="66"/>
        <item x="134"/>
        <item x="64"/>
        <item x="110"/>
        <item x="200"/>
        <item x="54"/>
        <item x="181"/>
        <item x="230"/>
        <item x="360"/>
        <item x="70"/>
        <item x="142"/>
        <item x="140"/>
        <item x="327"/>
        <item x="282"/>
        <item x="20"/>
        <item x="14"/>
        <item x="27"/>
        <item x="84"/>
        <item x="190"/>
        <item x="287"/>
        <item x="273"/>
        <item x="227"/>
        <item x="207"/>
        <item x="183"/>
        <item x="323"/>
        <item x="82"/>
        <item x="203"/>
        <item x="295"/>
        <item x="220"/>
        <item x="93"/>
        <item x="151"/>
        <item x="36"/>
        <item x="286"/>
        <item x="72"/>
        <item x="132"/>
        <item x="23"/>
        <item x="292"/>
        <item x="87"/>
        <item x="216"/>
        <item x="187"/>
        <item x="40"/>
        <item x="41"/>
        <item x="58"/>
        <item x="8"/>
        <item x="19"/>
        <item x="17"/>
        <item x="13"/>
        <item x="6"/>
        <item x="330"/>
        <item x="196"/>
        <item x="141"/>
        <item x="118"/>
        <item x="109"/>
        <item x="107"/>
        <item x="76"/>
        <item x="92"/>
        <item x="52"/>
        <item x="77"/>
        <item x="75"/>
        <item x="68"/>
        <item x="51"/>
        <item x="49"/>
        <item x="344"/>
        <item x="279"/>
        <item x="315"/>
        <item x="355"/>
        <item x="356"/>
        <item x="350"/>
        <item x="343"/>
        <item x="331"/>
        <item x="319"/>
        <item x="317"/>
        <item x="316"/>
        <item x="304"/>
        <item x="305"/>
        <item x="297"/>
        <item x="270"/>
        <item x="284"/>
        <item x="285"/>
        <item x="269"/>
        <item x="283"/>
        <item x="281"/>
        <item x="271"/>
        <item x="277"/>
        <item x="276"/>
        <item x="274"/>
        <item x="268"/>
        <item x="267"/>
        <item x="264"/>
        <item x="266"/>
        <item x="262"/>
        <item x="254"/>
        <item x="258"/>
        <item x="238"/>
        <item x="240"/>
        <item x="248"/>
        <item x="237"/>
        <item x="243"/>
        <item x="239"/>
        <item x="225"/>
        <item x="231"/>
        <item x="224"/>
        <item x="223"/>
        <item x="226"/>
        <item x="195"/>
        <item x="208"/>
        <item x="197"/>
        <item x="179"/>
        <item x="180"/>
        <item x="198"/>
        <item x="177"/>
        <item x="175"/>
        <item x="157"/>
        <item x="158"/>
        <item x="143"/>
        <item x="159"/>
        <item x="171"/>
        <item x="170"/>
        <item x="108"/>
        <item x="106"/>
        <item x="145"/>
        <item x="101"/>
        <item x="26"/>
        <item x="306"/>
        <item x="346"/>
        <item x="324"/>
        <item x="278"/>
        <item x="263"/>
        <item x="249"/>
        <item x="232"/>
        <item x="210"/>
        <item x="115"/>
        <item x="59"/>
        <item x="128"/>
        <item x="156"/>
        <item x="337"/>
        <item x="335"/>
        <item x="334"/>
        <item x="326"/>
        <item x="328"/>
        <item x="358"/>
        <item x="341"/>
        <item x="320"/>
        <item x="313"/>
        <item x="260"/>
        <item x="255"/>
        <item x="253"/>
        <item x="176"/>
        <item x="85"/>
        <item x="69"/>
        <item x="74"/>
        <item x="55"/>
        <item x="57"/>
        <item x="46"/>
        <item x="43"/>
        <item x="38"/>
        <item x="34"/>
        <item x="39"/>
        <item x="25"/>
        <item x="24"/>
        <item x="21"/>
        <item x="11"/>
        <item x="10"/>
        <item x="7"/>
        <item x="1"/>
        <item x="2"/>
        <item x="0"/>
        <item x="293"/>
        <item x="221"/>
        <item x="213"/>
        <item x="204"/>
        <item x="201"/>
        <item x="199"/>
        <item x="161"/>
        <item x="149"/>
        <item x="121"/>
        <item x="119"/>
        <item x="104"/>
        <item x="96"/>
        <item x="361"/>
        <item x="310"/>
        <item x="289"/>
        <item x="272"/>
        <item x="261"/>
        <item x="242"/>
        <item x="165"/>
        <item x="129"/>
        <item x="90"/>
        <item x="339"/>
        <item x="247"/>
        <item x="246"/>
        <item x="241"/>
        <item x="236"/>
        <item x="233"/>
        <item x="229"/>
        <item x="219"/>
        <item x="217"/>
        <item x="212"/>
        <item x="202"/>
        <item x="194"/>
        <item x="178"/>
        <item x="174"/>
        <item x="160"/>
        <item x="148"/>
        <item x="133"/>
        <item x="117"/>
        <item x="105"/>
        <item x="91"/>
        <item x="81"/>
        <item x="67"/>
        <item x="53"/>
        <item x="50"/>
        <item x="42"/>
        <item x="33"/>
        <item x="362"/>
        <item x="312"/>
        <item x="275"/>
        <item x="244"/>
        <item x="193"/>
        <item x="126"/>
        <item x="111"/>
        <item x="102"/>
        <item x="88"/>
        <item x="78"/>
        <item x="60"/>
        <item x="47"/>
        <item x="28"/>
        <item x="15"/>
        <item x="127"/>
        <item x="112"/>
        <item x="103"/>
        <item x="89"/>
        <item x="79"/>
        <item x="61"/>
        <item x="48"/>
        <item x="29"/>
        <item x="16"/>
        <item x="31"/>
        <item x="30"/>
        <item x="322"/>
        <item x="349"/>
        <item x="340"/>
        <item x="321"/>
        <item x="265"/>
        <item x="256"/>
        <item x="234"/>
        <item x="228"/>
        <item x="218"/>
        <item x="209"/>
        <item x="131"/>
        <item x="80"/>
        <item x="345"/>
        <item x="353"/>
        <item x="332"/>
        <item x="259"/>
        <item x="301"/>
        <item x="189"/>
        <item x="32"/>
        <item x="300"/>
        <item x="188"/>
        <item x="257"/>
        <item x="354"/>
        <item x="5"/>
        <item x="3"/>
        <item x="4"/>
        <item x="173"/>
        <item x="9"/>
        <item x="299"/>
        <item x="298"/>
        <item x="352"/>
        <item x="308"/>
        <item x="172"/>
        <item x="347"/>
        <item x="307"/>
        <item x="351"/>
        <item x="314"/>
        <item x="348"/>
        <item x="302"/>
        <item x="303"/>
        <item x="288"/>
        <item x="166"/>
        <item x="154"/>
        <item x="122"/>
        <item x="56"/>
        <item x="73"/>
        <item x="291"/>
        <item x="37"/>
        <item x="18"/>
        <item x="359"/>
        <item x="222"/>
        <item x="163"/>
        <item x="114"/>
        <item x="44"/>
        <item x="309"/>
        <item x="153"/>
        <item x="144"/>
        <item x="94"/>
        <item x="63"/>
        <item x="125"/>
        <item x="113"/>
        <item x="100"/>
        <item x="83"/>
        <item x="137"/>
        <item x="333"/>
        <item x="325"/>
        <item x="338"/>
        <item x="235"/>
        <item x="280"/>
        <item x="363"/>
        <item x="45"/>
        <item x="296"/>
        <item x="311"/>
        <item x="98"/>
        <item x="211"/>
        <item x="252"/>
        <item x="251"/>
        <item x="250"/>
        <item x="342"/>
        <item x="329"/>
        <item x="290"/>
        <item x="169"/>
        <item x="168"/>
        <item x="164"/>
        <item x="138"/>
        <item x="130"/>
        <item x="215"/>
        <item x="214"/>
        <item x="205"/>
        <item x="22"/>
        <item x="162"/>
        <item x="95"/>
        <item x="152"/>
        <item x="150"/>
        <item x="357"/>
        <item x="336"/>
        <item x="155"/>
        <item x="136"/>
        <item x="123"/>
        <item x="186"/>
        <item x="185"/>
        <item x="184"/>
        <item x="182"/>
        <item x="146"/>
        <item x="99"/>
        <item x="318"/>
        <item x="294"/>
        <item x="192"/>
        <item x="135"/>
        <item x="120"/>
        <item t="default"/>
      </items>
    </pivotField>
    <pivotField dataField="1" showAll="0"/>
    <pivotField axis="axisRow" showAll="0">
      <items count="20">
        <item h="1" x="0"/>
        <item h="1" x="1"/>
        <item h="1" x="2"/>
        <item h="1" x="5"/>
        <item x="13"/>
        <item h="1" x="14"/>
        <item x="8"/>
        <item h="1" x="3"/>
        <item h="1" x="4"/>
        <item x="15"/>
        <item h="1" x="7"/>
        <item h="1" x="12"/>
        <item h="1" x="9"/>
        <item h="1" x="10"/>
        <item h="1" x="11"/>
        <item h="1" x="16"/>
        <item h="1" x="6"/>
        <item h="1" x="17"/>
        <item h="1" x="18"/>
        <item t="default"/>
      </items>
    </pivotField>
    <pivotField showAll="0"/>
    <pivotField showAll="0"/>
  </pivotFields>
  <rowFields count="3">
    <field x="1"/>
    <field x="6"/>
    <field x="4"/>
  </rowFields>
  <rowItems count="15">
    <i>
      <x/>
    </i>
    <i r="1">
      <x v="6"/>
    </i>
    <i r="2">
      <x v="301"/>
    </i>
    <i>
      <x v="1"/>
    </i>
    <i r="1">
      <x v="4"/>
    </i>
    <i r="2">
      <x v="11"/>
    </i>
    <i r="2">
      <x v="12"/>
    </i>
    <i r="2">
      <x v="13"/>
    </i>
    <i r="2">
      <x v="14"/>
    </i>
    <i r="2">
      <x v="15"/>
    </i>
    <i r="1">
      <x v="6"/>
    </i>
    <i r="2">
      <x v="301"/>
    </i>
    <i r="1">
      <x v="9"/>
    </i>
    <i r="2">
      <x v="136"/>
    </i>
    <i t="grand">
      <x/>
    </i>
  </rowItems>
  <colItems count="1">
    <i/>
  </colItems>
  <dataFields count="1">
    <dataField name="Sum of Amount" fld="5" baseField="0" baseItem="0" numFmtId="164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745CC-9BBE-4A6D-9398-494C1A25D0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9" firstHeaderRow="1" firstDataRow="1" firstDataCol="1"/>
  <pivotFields count="9"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axis="axisRow" showAll="0">
      <items count="365">
        <item x="65"/>
        <item x="71"/>
        <item x="97"/>
        <item x="116"/>
        <item x="35"/>
        <item x="86"/>
        <item x="167"/>
        <item x="147"/>
        <item x="124"/>
        <item x="62"/>
        <item x="12"/>
        <item n="ATM CHECK DEPOSIT 07/03 3818 BROADWAY an" x="245"/>
        <item n="ATM CHECK DEPOSIT 08/26 1003 LEXINGTON AVE n" x="206"/>
        <item n="ATM CHECK DEPOSIT 09/09 204 W 4TH ST n" x="191"/>
        <item n="ATM CHECK DEPOSIT 10/14 2245 31ST ST an" x="139"/>
        <item n="ATM CHECK DEPOSIT 11/19 2245 31ST ST an" x="66"/>
        <item x="134"/>
        <item x="64"/>
        <item x="110"/>
        <item x="200"/>
        <item x="54"/>
        <item x="181"/>
        <item x="230"/>
        <item x="360"/>
        <item x="70"/>
        <item x="142"/>
        <item x="140"/>
        <item x="327"/>
        <item x="282"/>
        <item x="20"/>
        <item x="14"/>
        <item x="27"/>
        <item x="84"/>
        <item x="190"/>
        <item x="287"/>
        <item x="273"/>
        <item x="227"/>
        <item x="207"/>
        <item x="183"/>
        <item x="323"/>
        <item x="82"/>
        <item x="203"/>
        <item x="295"/>
        <item x="220"/>
        <item x="93"/>
        <item x="151"/>
        <item x="36"/>
        <item x="286"/>
        <item x="72"/>
        <item x="132"/>
        <item x="23"/>
        <item x="292"/>
        <item x="87"/>
        <item x="216"/>
        <item x="187"/>
        <item x="40"/>
        <item x="41"/>
        <item x="58"/>
        <item x="8"/>
        <item x="19"/>
        <item x="17"/>
        <item x="13"/>
        <item x="6"/>
        <item x="330"/>
        <item x="196"/>
        <item x="141"/>
        <item x="118"/>
        <item x="109"/>
        <item x="107"/>
        <item x="76"/>
        <item x="92"/>
        <item x="52"/>
        <item x="77"/>
        <item x="75"/>
        <item x="68"/>
        <item x="51"/>
        <item x="49"/>
        <item x="344"/>
        <item x="279"/>
        <item x="315"/>
        <item x="355"/>
        <item x="356"/>
        <item x="350"/>
        <item x="343"/>
        <item x="331"/>
        <item x="319"/>
        <item x="317"/>
        <item x="316"/>
        <item x="304"/>
        <item x="305"/>
        <item x="297"/>
        <item x="270"/>
        <item x="284"/>
        <item x="285"/>
        <item x="269"/>
        <item x="283"/>
        <item x="281"/>
        <item x="271"/>
        <item x="277"/>
        <item x="276"/>
        <item x="274"/>
        <item x="268"/>
        <item x="267"/>
        <item x="264"/>
        <item x="266"/>
        <item x="262"/>
        <item x="254"/>
        <item x="258"/>
        <item x="238"/>
        <item x="240"/>
        <item x="248"/>
        <item x="237"/>
        <item x="243"/>
        <item x="239"/>
        <item x="225"/>
        <item x="231"/>
        <item x="224"/>
        <item x="223"/>
        <item x="226"/>
        <item x="195"/>
        <item x="208"/>
        <item x="197"/>
        <item x="179"/>
        <item x="180"/>
        <item x="198"/>
        <item x="177"/>
        <item x="175"/>
        <item x="157"/>
        <item x="158"/>
        <item x="143"/>
        <item x="159"/>
        <item x="171"/>
        <item x="170"/>
        <item x="108"/>
        <item x="106"/>
        <item x="145"/>
        <item x="101"/>
        <item x="26"/>
        <item x="306"/>
        <item x="346"/>
        <item x="324"/>
        <item x="278"/>
        <item x="263"/>
        <item x="249"/>
        <item x="232"/>
        <item x="210"/>
        <item x="115"/>
        <item x="59"/>
        <item x="128"/>
        <item x="156"/>
        <item x="337"/>
        <item x="335"/>
        <item x="334"/>
        <item x="326"/>
        <item x="328"/>
        <item x="358"/>
        <item x="341"/>
        <item x="320"/>
        <item x="313"/>
        <item x="260"/>
        <item x="255"/>
        <item x="253"/>
        <item x="176"/>
        <item x="85"/>
        <item x="69"/>
        <item x="74"/>
        <item x="55"/>
        <item x="57"/>
        <item x="46"/>
        <item x="43"/>
        <item x="38"/>
        <item x="34"/>
        <item x="39"/>
        <item x="25"/>
        <item x="24"/>
        <item x="21"/>
        <item x="11"/>
        <item x="10"/>
        <item x="7"/>
        <item x="1"/>
        <item x="2"/>
        <item x="0"/>
        <item x="293"/>
        <item x="221"/>
        <item x="213"/>
        <item x="204"/>
        <item x="201"/>
        <item x="199"/>
        <item x="161"/>
        <item x="149"/>
        <item x="121"/>
        <item x="119"/>
        <item x="104"/>
        <item x="96"/>
        <item x="361"/>
        <item x="310"/>
        <item x="289"/>
        <item x="272"/>
        <item x="261"/>
        <item x="242"/>
        <item x="165"/>
        <item x="129"/>
        <item x="90"/>
        <item x="339"/>
        <item x="247"/>
        <item x="246"/>
        <item x="241"/>
        <item x="236"/>
        <item x="233"/>
        <item x="229"/>
        <item x="219"/>
        <item x="217"/>
        <item x="212"/>
        <item x="202"/>
        <item x="194"/>
        <item x="178"/>
        <item x="174"/>
        <item x="160"/>
        <item x="148"/>
        <item x="133"/>
        <item x="117"/>
        <item x="105"/>
        <item x="91"/>
        <item x="81"/>
        <item x="67"/>
        <item x="53"/>
        <item x="50"/>
        <item x="42"/>
        <item x="33"/>
        <item x="362"/>
        <item x="312"/>
        <item x="275"/>
        <item x="244"/>
        <item x="193"/>
        <item x="126"/>
        <item x="111"/>
        <item x="102"/>
        <item x="88"/>
        <item x="78"/>
        <item x="60"/>
        <item x="47"/>
        <item x="28"/>
        <item x="15"/>
        <item x="127"/>
        <item x="112"/>
        <item x="103"/>
        <item x="89"/>
        <item x="79"/>
        <item x="61"/>
        <item x="48"/>
        <item x="29"/>
        <item x="16"/>
        <item x="31"/>
        <item x="30"/>
        <item x="322"/>
        <item x="349"/>
        <item x="340"/>
        <item x="321"/>
        <item x="265"/>
        <item x="256"/>
        <item x="234"/>
        <item x="228"/>
        <item x="218"/>
        <item x="209"/>
        <item x="131"/>
        <item x="80"/>
        <item x="345"/>
        <item x="353"/>
        <item x="332"/>
        <item x="259"/>
        <item x="301"/>
        <item x="189"/>
        <item x="32"/>
        <item x="300"/>
        <item x="188"/>
        <item x="257"/>
        <item x="354"/>
        <item x="5"/>
        <item x="3"/>
        <item x="4"/>
        <item x="173"/>
        <item x="9"/>
        <item x="299"/>
        <item x="298"/>
        <item x="352"/>
        <item x="308"/>
        <item x="172"/>
        <item x="347"/>
        <item x="307"/>
        <item x="351"/>
        <item x="314"/>
        <item x="348"/>
        <item x="302"/>
        <item x="303"/>
        <item x="288"/>
        <item x="166"/>
        <item x="154"/>
        <item x="122"/>
        <item x="56"/>
        <item x="73"/>
        <item x="291"/>
        <item x="37"/>
        <item x="18"/>
        <item x="359"/>
        <item x="222"/>
        <item x="163"/>
        <item x="114"/>
        <item x="44"/>
        <item x="309"/>
        <item x="153"/>
        <item x="144"/>
        <item x="94"/>
        <item x="63"/>
        <item x="125"/>
        <item x="113"/>
        <item x="100"/>
        <item x="83"/>
        <item x="137"/>
        <item x="333"/>
        <item x="325"/>
        <item x="338"/>
        <item x="235"/>
        <item x="280"/>
        <item x="363"/>
        <item x="45"/>
        <item x="296"/>
        <item x="311"/>
        <item x="98"/>
        <item x="211"/>
        <item x="252"/>
        <item x="251"/>
        <item x="250"/>
        <item x="342"/>
        <item x="329"/>
        <item x="290"/>
        <item x="169"/>
        <item x="168"/>
        <item x="164"/>
        <item x="138"/>
        <item x="130"/>
        <item x="215"/>
        <item x="214"/>
        <item x="205"/>
        <item x="22"/>
        <item x="162"/>
        <item x="95"/>
        <item x="152"/>
        <item x="150"/>
        <item x="357"/>
        <item x="336"/>
        <item x="155"/>
        <item x="136"/>
        <item x="123"/>
        <item x="186"/>
        <item x="185"/>
        <item x="184"/>
        <item x="182"/>
        <item x="146"/>
        <item x="99"/>
        <item x="318"/>
        <item x="294"/>
        <item x="192"/>
        <item x="135"/>
        <item x="120"/>
        <item t="default"/>
      </items>
    </pivotField>
    <pivotField dataField="1" showAll="0"/>
    <pivotField axis="axisRow" showAll="0">
      <items count="20">
        <item h="1" x="0"/>
        <item h="1" x="1"/>
        <item h="1" x="2"/>
        <item h="1" x="5"/>
        <item x="13"/>
        <item h="1" x="14"/>
        <item x="8"/>
        <item h="1" x="3"/>
        <item h="1" x="4"/>
        <item x="15"/>
        <item h="1" x="7"/>
        <item h="1" x="12"/>
        <item h="1" x="9"/>
        <item h="1" x="10"/>
        <item h="1" x="11"/>
        <item h="1" x="16"/>
        <item h="1" x="6"/>
        <item h="1" x="17"/>
        <item h="1" x="18"/>
        <item t="default"/>
      </items>
    </pivotField>
    <pivotField showAll="0"/>
    <pivotField showAll="0"/>
  </pivotFields>
  <rowFields count="3">
    <field x="1"/>
    <field x="6"/>
    <field x="4"/>
  </rowFields>
  <rowItems count="15">
    <i>
      <x/>
    </i>
    <i r="1">
      <x v="6"/>
    </i>
    <i r="2">
      <x v="301"/>
    </i>
    <i>
      <x v="1"/>
    </i>
    <i r="1">
      <x v="4"/>
    </i>
    <i r="2">
      <x v="11"/>
    </i>
    <i r="2">
      <x v="12"/>
    </i>
    <i r="2">
      <x v="13"/>
    </i>
    <i r="2">
      <x v="14"/>
    </i>
    <i r="2">
      <x v="15"/>
    </i>
    <i r="1">
      <x v="6"/>
    </i>
    <i r="2">
      <x v="301"/>
    </i>
    <i r="1">
      <x v="9"/>
    </i>
    <i r="2">
      <x v="136"/>
    </i>
    <i t="grand">
      <x/>
    </i>
  </rowItems>
  <colItems count="1">
    <i/>
  </colItems>
  <dataFields count="1">
    <dataField name="Sum of Amount" fld="5" baseField="0" baseItem="0" numFmtId="164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6BAE8-B519-4625-B38C-E23475451DB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12">
    <pivotField showAll="0"/>
    <pivotField showAll="0"/>
    <pivotField showAll="0"/>
    <pivotField numFmtId="14" showAll="0"/>
    <pivotField showAll="0"/>
    <pivotField dataField="1" numFmtId="164" showAll="0"/>
    <pivotField showAll="0"/>
    <pivotField numFmtId="164"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16">
        <item x="6"/>
        <item x="12"/>
        <item x="1"/>
        <item h="1" x="0"/>
        <item x="14"/>
        <item x="8"/>
        <item x="3"/>
        <item x="2"/>
        <item x="7"/>
        <item x="13"/>
        <item x="4"/>
        <item x="10"/>
        <item x="11"/>
        <item x="5"/>
        <item x="9"/>
        <item t="default"/>
      </items>
    </pivotField>
    <pivotField showAll="0"/>
  </pivotFields>
  <rowFields count="2">
    <field x="9"/>
    <field x="10"/>
  </rowFields>
  <rowItems count="17">
    <i>
      <x/>
    </i>
    <i r="1">
      <x v="4"/>
    </i>
    <i r="1">
      <x v="6"/>
    </i>
    <i r="1">
      <x v="9"/>
    </i>
    <i>
      <x v="1"/>
    </i>
    <i r="1">
      <x/>
    </i>
    <i r="1">
      <x v="1"/>
    </i>
    <i r="1">
      <x v="2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t="grand">
      <x/>
    </i>
  </rowItems>
  <colItems count="1">
    <i/>
  </colItems>
  <dataFields count="1">
    <dataField name="Sum of Amount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BB3AA-8148-44B1-8CD3-4D8BCB3B3CB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7" firstHeaderRow="1" firstDataRow="1" firstDataCol="1"/>
  <pivotFields count="8">
    <pivotField showAll="0"/>
    <pivotField numFmtId="14" showAll="0"/>
    <pivotField numFmtId="14" showAll="0"/>
    <pivotField showAll="0">
      <items count="23">
        <item x="6"/>
        <item x="5"/>
        <item x="16"/>
        <item x="1"/>
        <item x="17"/>
        <item x="15"/>
        <item x="21"/>
        <item x="8"/>
        <item x="12"/>
        <item x="19"/>
        <item x="3"/>
        <item x="10"/>
        <item x="2"/>
        <item x="9"/>
        <item x="11"/>
        <item x="7"/>
        <item x="0"/>
        <item x="4"/>
        <item x="13"/>
        <item x="18"/>
        <item x="14"/>
        <item x="20"/>
        <item t="default"/>
      </items>
    </pivotField>
    <pivotField axis="axisRow" showAll="0">
      <items count="10">
        <item x="4"/>
        <item x="0"/>
        <item x="5"/>
        <item x="6"/>
        <item x="8"/>
        <item x="7"/>
        <item x="3"/>
        <item x="2"/>
        <item x="1"/>
        <item t="default"/>
      </items>
    </pivotField>
    <pivotField axis="axisRow" showAll="0">
      <items count="5">
        <item x="2"/>
        <item h="1" x="1"/>
        <item x="3"/>
        <item x="0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2">
    <field x="5"/>
    <field x="4"/>
  </rowFields>
  <rowItems count="13">
    <i>
      <x/>
    </i>
    <i r="1">
      <x v="2"/>
    </i>
    <i>
      <x v="2"/>
    </i>
    <i r="1">
      <x v="8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Amount" fld="6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B7D1-93B3-4C33-A08B-308AC89223EA}">
  <dimension ref="B4:C19"/>
  <sheetViews>
    <sheetView workbookViewId="0">
      <selection activeCell="G30" sqref="G30"/>
    </sheetView>
  </sheetViews>
  <sheetFormatPr defaultRowHeight="15" x14ac:dyDescent="0.25"/>
  <cols>
    <col min="2" max="2" width="58.28515625" bestFit="1" customWidth="1"/>
    <col min="3" max="3" width="13.7109375" style="7" bestFit="1" customWidth="1"/>
  </cols>
  <sheetData>
    <row r="4" spans="2:3" x14ac:dyDescent="0.25">
      <c r="B4" t="s">
        <v>73</v>
      </c>
      <c r="C4" s="7" t="s">
        <v>72</v>
      </c>
    </row>
    <row r="5" spans="2:3" x14ac:dyDescent="0.25">
      <c r="B5" s="3" t="s">
        <v>86</v>
      </c>
      <c r="C5" s="7">
        <v>6488</v>
      </c>
    </row>
    <row r="6" spans="2:3" x14ac:dyDescent="0.25">
      <c r="B6" s="5" t="s">
        <v>17</v>
      </c>
      <c r="C6" s="7">
        <v>6488</v>
      </c>
    </row>
    <row r="7" spans="2:3" x14ac:dyDescent="0.25">
      <c r="B7" s="6" t="s">
        <v>16</v>
      </c>
      <c r="C7" s="7">
        <v>6488</v>
      </c>
    </row>
    <row r="8" spans="2:3" x14ac:dyDescent="0.25">
      <c r="B8" s="3" t="s">
        <v>77</v>
      </c>
      <c r="C8" s="7">
        <v>283409.05</v>
      </c>
    </row>
    <row r="9" spans="2:3" x14ac:dyDescent="0.25">
      <c r="B9" s="5" t="s">
        <v>19</v>
      </c>
      <c r="C9" s="7">
        <v>87318.76999999999</v>
      </c>
    </row>
    <row r="10" spans="2:3" x14ac:dyDescent="0.25">
      <c r="B10" s="6" t="s">
        <v>174</v>
      </c>
      <c r="C10" s="7">
        <v>8833</v>
      </c>
    </row>
    <row r="11" spans="2:3" x14ac:dyDescent="0.25">
      <c r="B11" s="6" t="s">
        <v>177</v>
      </c>
      <c r="C11" s="7">
        <v>2668</v>
      </c>
    </row>
    <row r="12" spans="2:3" x14ac:dyDescent="0.25">
      <c r="B12" s="6" t="s">
        <v>178</v>
      </c>
      <c r="C12" s="7">
        <v>15560</v>
      </c>
    </row>
    <row r="13" spans="2:3" x14ac:dyDescent="0.25">
      <c r="B13" s="6" t="s">
        <v>175</v>
      </c>
      <c r="C13" s="7">
        <v>21601.5</v>
      </c>
    </row>
    <row r="14" spans="2:3" x14ac:dyDescent="0.25">
      <c r="B14" s="6" t="s">
        <v>176</v>
      </c>
      <c r="C14" s="7">
        <v>38656.269999999997</v>
      </c>
    </row>
    <row r="15" spans="2:3" x14ac:dyDescent="0.25">
      <c r="B15" s="5" t="s">
        <v>17</v>
      </c>
      <c r="C15" s="7">
        <v>151139.01999999999</v>
      </c>
    </row>
    <row r="16" spans="2:3" x14ac:dyDescent="0.25">
      <c r="B16" s="6" t="s">
        <v>16</v>
      </c>
      <c r="C16" s="7">
        <v>151139.01999999999</v>
      </c>
    </row>
    <row r="17" spans="2:3" x14ac:dyDescent="0.25">
      <c r="B17" s="5" t="s">
        <v>23</v>
      </c>
      <c r="C17" s="7">
        <v>44951.26</v>
      </c>
    </row>
    <row r="18" spans="2:3" x14ac:dyDescent="0.25">
      <c r="B18" s="6" t="s">
        <v>22</v>
      </c>
      <c r="C18" s="7">
        <v>44951.26</v>
      </c>
    </row>
    <row r="19" spans="2:3" x14ac:dyDescent="0.25">
      <c r="B19" s="3" t="s">
        <v>74</v>
      </c>
      <c r="C19" s="7">
        <v>289897.05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1C71-0C35-4414-B609-3C41C6E62A83}">
  <dimension ref="B4:C19"/>
  <sheetViews>
    <sheetView workbookViewId="0">
      <selection activeCell="C19" sqref="C19"/>
    </sheetView>
  </sheetViews>
  <sheetFormatPr defaultRowHeight="15" x14ac:dyDescent="0.25"/>
  <cols>
    <col min="2" max="2" width="58.28515625" bestFit="1" customWidth="1"/>
    <col min="3" max="3" width="13.7109375" style="7" bestFit="1" customWidth="1"/>
  </cols>
  <sheetData>
    <row r="4" spans="2:3" x14ac:dyDescent="0.25">
      <c r="B4" s="2" t="s">
        <v>73</v>
      </c>
      <c r="C4" s="7" t="s">
        <v>72</v>
      </c>
    </row>
    <row r="5" spans="2:3" x14ac:dyDescent="0.25">
      <c r="B5" s="3" t="s">
        <v>86</v>
      </c>
      <c r="C5" s="7">
        <v>6488</v>
      </c>
    </row>
    <row r="6" spans="2:3" x14ac:dyDescent="0.25">
      <c r="B6" s="5" t="s">
        <v>17</v>
      </c>
      <c r="C6" s="7">
        <v>6488</v>
      </c>
    </row>
    <row r="7" spans="2:3" x14ac:dyDescent="0.25">
      <c r="B7" s="6" t="s">
        <v>16</v>
      </c>
      <c r="C7" s="7">
        <v>6488</v>
      </c>
    </row>
    <row r="8" spans="2:3" x14ac:dyDescent="0.25">
      <c r="B8" s="3" t="s">
        <v>77</v>
      </c>
      <c r="C8" s="7">
        <v>283409.05</v>
      </c>
    </row>
    <row r="9" spans="2:3" x14ac:dyDescent="0.25">
      <c r="B9" s="5" t="s">
        <v>19</v>
      </c>
      <c r="C9" s="7">
        <v>87318.76999999999</v>
      </c>
    </row>
    <row r="10" spans="2:3" x14ac:dyDescent="0.25">
      <c r="B10" s="6" t="s">
        <v>174</v>
      </c>
      <c r="C10" s="7">
        <v>8833</v>
      </c>
    </row>
    <row r="11" spans="2:3" x14ac:dyDescent="0.25">
      <c r="B11" s="6" t="s">
        <v>177</v>
      </c>
      <c r="C11" s="7">
        <v>2668</v>
      </c>
    </row>
    <row r="12" spans="2:3" x14ac:dyDescent="0.25">
      <c r="B12" s="6" t="s">
        <v>178</v>
      </c>
      <c r="C12" s="7">
        <v>15560</v>
      </c>
    </row>
    <row r="13" spans="2:3" x14ac:dyDescent="0.25">
      <c r="B13" s="6" t="s">
        <v>175</v>
      </c>
      <c r="C13" s="7">
        <v>21601.5</v>
      </c>
    </row>
    <row r="14" spans="2:3" x14ac:dyDescent="0.25">
      <c r="B14" s="6" t="s">
        <v>176</v>
      </c>
      <c r="C14" s="7">
        <v>38656.269999999997</v>
      </c>
    </row>
    <row r="15" spans="2:3" x14ac:dyDescent="0.25">
      <c r="B15" s="5" t="s">
        <v>17</v>
      </c>
      <c r="C15" s="7">
        <v>151139.01999999999</v>
      </c>
    </row>
    <row r="16" spans="2:3" x14ac:dyDescent="0.25">
      <c r="B16" s="6" t="s">
        <v>16</v>
      </c>
      <c r="C16" s="7">
        <v>151139.01999999999</v>
      </c>
    </row>
    <row r="17" spans="2:3" x14ac:dyDescent="0.25">
      <c r="B17" s="5" t="s">
        <v>23</v>
      </c>
      <c r="C17" s="7">
        <v>44951.26</v>
      </c>
    </row>
    <row r="18" spans="2:3" x14ac:dyDescent="0.25">
      <c r="B18" s="6" t="s">
        <v>22</v>
      </c>
      <c r="C18" s="7">
        <v>44951.26</v>
      </c>
    </row>
    <row r="19" spans="2:3" x14ac:dyDescent="0.25">
      <c r="B19" s="3" t="s">
        <v>74</v>
      </c>
      <c r="C19" s="7">
        <v>289897.05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1A0D-A8F7-42B1-80DF-D565F05A57B7}">
  <dimension ref="B4:J21"/>
  <sheetViews>
    <sheetView workbookViewId="0">
      <selection activeCell="C12" sqref="C12"/>
    </sheetView>
  </sheetViews>
  <sheetFormatPr defaultRowHeight="15" x14ac:dyDescent="0.25"/>
  <cols>
    <col min="2" max="2" width="15.28515625" bestFit="1" customWidth="1"/>
    <col min="3" max="3" width="13.7109375" bestFit="1" customWidth="1"/>
    <col min="10" max="10" width="10.5703125" bestFit="1" customWidth="1"/>
  </cols>
  <sheetData>
    <row r="4" spans="2:10" x14ac:dyDescent="0.25">
      <c r="B4" s="2" t="s">
        <v>73</v>
      </c>
      <c r="C4" t="s">
        <v>72</v>
      </c>
      <c r="G4" t="s">
        <v>145</v>
      </c>
    </row>
    <row r="5" spans="2:10" x14ac:dyDescent="0.25">
      <c r="B5" s="3" t="s">
        <v>128</v>
      </c>
      <c r="C5" s="7">
        <v>300616.74</v>
      </c>
      <c r="H5" t="s">
        <v>146</v>
      </c>
      <c r="J5" s="7">
        <f>2300*12</f>
        <v>27600</v>
      </c>
    </row>
    <row r="6" spans="2:10" x14ac:dyDescent="0.25">
      <c r="B6" s="5" t="s">
        <v>127</v>
      </c>
      <c r="C6" s="7">
        <v>283</v>
      </c>
    </row>
    <row r="7" spans="2:10" x14ac:dyDescent="0.25">
      <c r="B7" s="5" t="s">
        <v>128</v>
      </c>
      <c r="C7" s="7">
        <v>300333.74</v>
      </c>
    </row>
    <row r="8" spans="2:10" x14ac:dyDescent="0.25">
      <c r="B8" s="5" t="s">
        <v>129</v>
      </c>
      <c r="C8" s="7">
        <v>0</v>
      </c>
    </row>
    <row r="9" spans="2:10" x14ac:dyDescent="0.25">
      <c r="B9" s="3" t="s">
        <v>130</v>
      </c>
      <c r="C9" s="7">
        <v>-161778.53999999998</v>
      </c>
    </row>
    <row r="10" spans="2:10" x14ac:dyDescent="0.25">
      <c r="B10" s="5" t="s">
        <v>142</v>
      </c>
      <c r="C10" s="7">
        <v>-8511.1099999999988</v>
      </c>
    </row>
    <row r="11" spans="2:10" x14ac:dyDescent="0.25">
      <c r="B11" s="5" t="s">
        <v>136</v>
      </c>
      <c r="C11" s="7">
        <v>-145</v>
      </c>
    </row>
    <row r="12" spans="2:10" x14ac:dyDescent="0.25">
      <c r="B12" s="5" t="s">
        <v>131</v>
      </c>
      <c r="C12" s="7">
        <v>-107615.19999999997</v>
      </c>
    </row>
    <row r="13" spans="2:10" x14ac:dyDescent="0.25">
      <c r="B13" s="5" t="s">
        <v>141</v>
      </c>
      <c r="C13" s="7">
        <v>-192</v>
      </c>
    </row>
    <row r="14" spans="2:10" x14ac:dyDescent="0.25">
      <c r="B14" s="5" t="s">
        <v>133</v>
      </c>
      <c r="C14" s="7">
        <v>-13755.429999999998</v>
      </c>
    </row>
    <row r="15" spans="2:10" x14ac:dyDescent="0.25">
      <c r="B15" s="5" t="s">
        <v>135</v>
      </c>
      <c r="C15" s="7">
        <v>-6072.42</v>
      </c>
    </row>
    <row r="16" spans="2:10" x14ac:dyDescent="0.25">
      <c r="B16" s="5" t="s">
        <v>134</v>
      </c>
      <c r="C16" s="7">
        <v>-20631.27</v>
      </c>
    </row>
    <row r="17" spans="2:3" x14ac:dyDescent="0.25">
      <c r="B17" s="5" t="s">
        <v>137</v>
      </c>
      <c r="C17" s="7">
        <v>-300.87</v>
      </c>
    </row>
    <row r="18" spans="2:3" x14ac:dyDescent="0.25">
      <c r="B18" s="5" t="s">
        <v>140</v>
      </c>
      <c r="C18" s="7">
        <v>-40.26</v>
      </c>
    </row>
    <row r="19" spans="2:3" x14ac:dyDescent="0.25">
      <c r="B19" s="5" t="s">
        <v>138</v>
      </c>
      <c r="C19" s="7">
        <v>-3722.2</v>
      </c>
    </row>
    <row r="20" spans="2:3" x14ac:dyDescent="0.25">
      <c r="B20" s="5" t="s">
        <v>139</v>
      </c>
      <c r="C20" s="7">
        <v>-792.78</v>
      </c>
    </row>
    <row r="21" spans="2:3" x14ac:dyDescent="0.25">
      <c r="B21" s="3" t="s">
        <v>74</v>
      </c>
      <c r="C21" s="7">
        <v>138838.20000000004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153B-B888-4792-9C8B-DA893265AEEB}">
  <dimension ref="A1:L90"/>
  <sheetViews>
    <sheetView workbookViewId="0">
      <selection activeCell="E13" sqref="E13"/>
    </sheetView>
  </sheetViews>
  <sheetFormatPr defaultRowHeight="15" x14ac:dyDescent="0.25"/>
  <cols>
    <col min="1" max="1" width="12.28515625" bestFit="1" customWidth="1"/>
    <col min="2" max="2" width="8.28515625" bestFit="1" customWidth="1"/>
    <col min="3" max="3" width="6.85546875" bestFit="1" customWidth="1"/>
    <col min="4" max="4" width="11.28515625" bestFit="1" customWidth="1"/>
    <col min="5" max="5" width="52" style="23" customWidth="1"/>
    <col min="6" max="6" width="8.140625" bestFit="1" customWidth="1"/>
    <col min="7" max="7" width="20.7109375" bestFit="1" customWidth="1"/>
    <col min="8" max="8" width="8.140625" bestFit="1" customWidth="1"/>
    <col min="9" max="9" width="13.28515625" bestFit="1" customWidth="1"/>
    <col min="10" max="10" width="7" bestFit="1" customWidth="1"/>
    <col min="11" max="11" width="21.28515625" bestFit="1" customWidth="1"/>
    <col min="12" max="12" width="21.7109375" bestFit="1" customWidth="1"/>
  </cols>
  <sheetData>
    <row r="1" spans="1:12" x14ac:dyDescent="0.25">
      <c r="A1" s="4" t="s">
        <v>75</v>
      </c>
      <c r="B1" s="4" t="s">
        <v>4</v>
      </c>
      <c r="C1" s="4" t="s">
        <v>0</v>
      </c>
      <c r="D1" s="9" t="s">
        <v>1</v>
      </c>
      <c r="E1" s="24" t="s">
        <v>2</v>
      </c>
      <c r="F1" s="8" t="s">
        <v>3</v>
      </c>
      <c r="G1" s="4" t="s">
        <v>4</v>
      </c>
      <c r="H1" s="8" t="s">
        <v>5</v>
      </c>
      <c r="I1" s="4" t="s">
        <v>6</v>
      </c>
      <c r="J1" s="4" t="s">
        <v>4</v>
      </c>
      <c r="K1" s="4" t="s">
        <v>132</v>
      </c>
      <c r="L1" s="4" t="s">
        <v>143</v>
      </c>
    </row>
    <row r="2" spans="1:12" x14ac:dyDescent="0.25">
      <c r="A2" t="s">
        <v>85</v>
      </c>
      <c r="B2" t="s">
        <v>86</v>
      </c>
      <c r="C2" t="s">
        <v>13</v>
      </c>
      <c r="D2" s="10"/>
      <c r="E2" s="23" t="s">
        <v>82</v>
      </c>
      <c r="F2" s="7"/>
      <c r="G2" t="s">
        <v>14</v>
      </c>
      <c r="H2" s="7"/>
      <c r="I2">
        <v>1576</v>
      </c>
      <c r="J2" t="s">
        <v>128</v>
      </c>
      <c r="K2" t="s">
        <v>144</v>
      </c>
      <c r="L2" s="4"/>
    </row>
    <row r="3" spans="1:12" x14ac:dyDescent="0.25">
      <c r="A3" t="s">
        <v>76</v>
      </c>
      <c r="B3" t="s">
        <v>77</v>
      </c>
      <c r="C3" t="s">
        <v>13</v>
      </c>
      <c r="D3" s="10"/>
      <c r="E3" s="23" t="s">
        <v>20</v>
      </c>
      <c r="F3" s="7"/>
      <c r="G3" t="s">
        <v>14</v>
      </c>
      <c r="H3" s="7"/>
      <c r="I3">
        <v>713</v>
      </c>
      <c r="J3" t="s">
        <v>128</v>
      </c>
      <c r="K3" t="s">
        <v>144</v>
      </c>
      <c r="L3" s="4"/>
    </row>
    <row r="4" spans="1:12" x14ac:dyDescent="0.25">
      <c r="A4" t="s">
        <v>76</v>
      </c>
      <c r="B4" t="s">
        <v>77</v>
      </c>
      <c r="C4" t="s">
        <v>13</v>
      </c>
      <c r="D4" s="10"/>
      <c r="E4" s="23" t="s">
        <v>24</v>
      </c>
      <c r="F4" s="7"/>
      <c r="G4" t="s">
        <v>14</v>
      </c>
      <c r="H4" s="7"/>
      <c r="I4">
        <v>704</v>
      </c>
      <c r="J4" t="s">
        <v>128</v>
      </c>
      <c r="K4" t="s">
        <v>144</v>
      </c>
      <c r="L4" s="4"/>
    </row>
    <row r="5" spans="1:12" x14ac:dyDescent="0.25">
      <c r="A5" t="s">
        <v>76</v>
      </c>
      <c r="B5" t="s">
        <v>77</v>
      </c>
      <c r="C5" t="s">
        <v>13</v>
      </c>
      <c r="D5" s="10"/>
      <c r="E5" s="23" t="s">
        <v>34</v>
      </c>
      <c r="F5" s="7"/>
      <c r="G5" t="s">
        <v>14</v>
      </c>
      <c r="H5" s="7"/>
      <c r="I5">
        <v>989</v>
      </c>
      <c r="J5" t="s">
        <v>128</v>
      </c>
      <c r="K5" t="s">
        <v>144</v>
      </c>
      <c r="L5" s="4"/>
    </row>
    <row r="6" spans="1:12" x14ac:dyDescent="0.25">
      <c r="A6" t="s">
        <v>76</v>
      </c>
      <c r="B6" t="s">
        <v>77</v>
      </c>
      <c r="C6" t="s">
        <v>13</v>
      </c>
      <c r="D6" s="10"/>
      <c r="E6" s="23" t="s">
        <v>38</v>
      </c>
      <c r="F6" s="7"/>
      <c r="G6" t="s">
        <v>14</v>
      </c>
      <c r="H6" s="7"/>
      <c r="I6">
        <v>983</v>
      </c>
      <c r="J6" t="s">
        <v>128</v>
      </c>
      <c r="K6" t="s">
        <v>144</v>
      </c>
      <c r="L6" s="4"/>
    </row>
    <row r="7" spans="1:12" x14ac:dyDescent="0.25">
      <c r="A7" t="s">
        <v>76</v>
      </c>
      <c r="B7" t="s">
        <v>77</v>
      </c>
      <c r="C7" t="s">
        <v>13</v>
      </c>
      <c r="D7" s="10"/>
      <c r="E7" s="23" t="s">
        <v>42</v>
      </c>
      <c r="F7" s="7"/>
      <c r="G7" t="s">
        <v>14</v>
      </c>
      <c r="H7" s="7"/>
      <c r="I7">
        <v>978</v>
      </c>
      <c r="J7" t="s">
        <v>128</v>
      </c>
      <c r="K7" t="s">
        <v>144</v>
      </c>
      <c r="L7" s="4"/>
    </row>
    <row r="8" spans="1:12" x14ac:dyDescent="0.25">
      <c r="A8" t="s">
        <v>76</v>
      </c>
      <c r="B8" t="s">
        <v>77</v>
      </c>
      <c r="C8" t="s">
        <v>13</v>
      </c>
      <c r="D8" s="10"/>
      <c r="E8" s="23" t="s">
        <v>45</v>
      </c>
      <c r="F8" s="7"/>
      <c r="G8" t="s">
        <v>14</v>
      </c>
      <c r="H8" s="7"/>
      <c r="I8">
        <v>971</v>
      </c>
      <c r="J8" t="s">
        <v>128</v>
      </c>
      <c r="K8" t="s">
        <v>144</v>
      </c>
      <c r="L8" s="4"/>
    </row>
    <row r="9" spans="1:12" x14ac:dyDescent="0.25">
      <c r="A9" t="s">
        <v>76</v>
      </c>
      <c r="B9" t="s">
        <v>77</v>
      </c>
      <c r="C9" t="s">
        <v>13</v>
      </c>
      <c r="D9" s="10"/>
      <c r="E9" s="23" t="s">
        <v>52</v>
      </c>
      <c r="F9" s="7"/>
      <c r="G9" t="s">
        <v>14</v>
      </c>
      <c r="H9" s="7"/>
      <c r="I9">
        <v>964</v>
      </c>
      <c r="J9" t="s">
        <v>128</v>
      </c>
      <c r="K9" t="s">
        <v>144</v>
      </c>
      <c r="L9" s="4"/>
    </row>
    <row r="10" spans="1:12" x14ac:dyDescent="0.25">
      <c r="A10" t="s">
        <v>76</v>
      </c>
      <c r="B10" t="s">
        <v>77</v>
      </c>
      <c r="C10" t="s">
        <v>13</v>
      </c>
      <c r="D10" s="10"/>
      <c r="E10" s="23" t="s">
        <v>54</v>
      </c>
      <c r="F10" s="7"/>
      <c r="G10" t="s">
        <v>14</v>
      </c>
      <c r="H10" s="7"/>
      <c r="I10">
        <v>956</v>
      </c>
      <c r="J10" t="s">
        <v>128</v>
      </c>
      <c r="K10" t="s">
        <v>144</v>
      </c>
      <c r="L10" s="4"/>
    </row>
    <row r="11" spans="1:12" ht="60" x14ac:dyDescent="0.25">
      <c r="A11" t="s">
        <v>85</v>
      </c>
      <c r="B11" t="s">
        <v>86</v>
      </c>
      <c r="C11" t="s">
        <v>7</v>
      </c>
      <c r="D11" s="10"/>
      <c r="E11" s="23" t="s">
        <v>81</v>
      </c>
      <c r="F11" s="7"/>
      <c r="G11" t="s">
        <v>8</v>
      </c>
      <c r="H11" s="7"/>
      <c r="J11" t="s">
        <v>128</v>
      </c>
    </row>
    <row r="12" spans="1:12" ht="60" x14ac:dyDescent="0.25">
      <c r="A12" t="s">
        <v>85</v>
      </c>
      <c r="B12" t="s">
        <v>86</v>
      </c>
      <c r="C12" t="s">
        <v>10</v>
      </c>
      <c r="D12" s="10"/>
      <c r="E12" s="23" t="s">
        <v>78</v>
      </c>
      <c r="F12" s="7"/>
      <c r="G12" t="s">
        <v>79</v>
      </c>
      <c r="H12" s="7"/>
      <c r="J12" t="s">
        <v>128</v>
      </c>
    </row>
    <row r="13" spans="1:12" ht="60" x14ac:dyDescent="0.25">
      <c r="A13" t="s">
        <v>85</v>
      </c>
      <c r="B13" t="s">
        <v>86</v>
      </c>
      <c r="C13" t="s">
        <v>10</v>
      </c>
      <c r="D13" s="10"/>
      <c r="E13" s="23" t="s">
        <v>80</v>
      </c>
      <c r="F13" s="7"/>
      <c r="G13" t="s">
        <v>79</v>
      </c>
      <c r="H13" s="7"/>
      <c r="J13" t="s">
        <v>128</v>
      </c>
    </row>
    <row r="14" spans="1:12" x14ac:dyDescent="0.25">
      <c r="A14" t="s">
        <v>76</v>
      </c>
      <c r="B14" t="s">
        <v>77</v>
      </c>
      <c r="C14" t="s">
        <v>10</v>
      </c>
      <c r="D14" s="10"/>
      <c r="E14" s="23" t="s">
        <v>66</v>
      </c>
      <c r="F14" s="7"/>
      <c r="G14" t="s">
        <v>57</v>
      </c>
      <c r="H14" s="7"/>
      <c r="J14" t="s">
        <v>128</v>
      </c>
    </row>
    <row r="15" spans="1:12" x14ac:dyDescent="0.25">
      <c r="A15" t="s">
        <v>76</v>
      </c>
      <c r="B15" t="s">
        <v>77</v>
      </c>
      <c r="C15" t="s">
        <v>10</v>
      </c>
      <c r="D15" s="10"/>
      <c r="E15" s="23" t="s">
        <v>59</v>
      </c>
      <c r="F15" s="7"/>
      <c r="G15" t="s">
        <v>57</v>
      </c>
      <c r="H15" s="7"/>
      <c r="J15" t="s">
        <v>128</v>
      </c>
    </row>
    <row r="16" spans="1:12" x14ac:dyDescent="0.25">
      <c r="A16" t="s">
        <v>76</v>
      </c>
      <c r="B16" t="s">
        <v>77</v>
      </c>
      <c r="C16" t="s">
        <v>10</v>
      </c>
      <c r="D16" s="10"/>
      <c r="E16" s="23" t="s">
        <v>56</v>
      </c>
      <c r="F16" s="7"/>
      <c r="G16" t="s">
        <v>57</v>
      </c>
      <c r="H16" s="7"/>
      <c r="J16" t="s">
        <v>128</v>
      </c>
    </row>
    <row r="17" spans="1:10" x14ac:dyDescent="0.25">
      <c r="A17" t="s">
        <v>76</v>
      </c>
      <c r="B17" t="s">
        <v>77</v>
      </c>
      <c r="C17" t="s">
        <v>10</v>
      </c>
      <c r="D17" s="10"/>
      <c r="E17" s="23" t="s">
        <v>59</v>
      </c>
      <c r="F17" s="7"/>
      <c r="G17" t="s">
        <v>57</v>
      </c>
      <c r="H17" s="7"/>
      <c r="J17" t="s">
        <v>128</v>
      </c>
    </row>
    <row r="18" spans="1:10" x14ac:dyDescent="0.25">
      <c r="A18" t="s">
        <v>76</v>
      </c>
      <c r="B18" t="s">
        <v>77</v>
      </c>
      <c r="C18" t="s">
        <v>10</v>
      </c>
      <c r="D18" s="10"/>
      <c r="E18" s="23" t="s">
        <v>59</v>
      </c>
      <c r="F18" s="7"/>
      <c r="G18" t="s">
        <v>57</v>
      </c>
      <c r="H18" s="7"/>
      <c r="J18" t="s">
        <v>128</v>
      </c>
    </row>
    <row r="19" spans="1:10" x14ac:dyDescent="0.25">
      <c r="A19" t="s">
        <v>76</v>
      </c>
      <c r="B19" t="s">
        <v>77</v>
      </c>
      <c r="C19" t="s">
        <v>10</v>
      </c>
      <c r="D19" s="10"/>
      <c r="E19" s="23" t="s">
        <v>59</v>
      </c>
      <c r="F19" s="7"/>
      <c r="G19" t="s">
        <v>57</v>
      </c>
      <c r="H19" s="7"/>
      <c r="J19" t="s">
        <v>128</v>
      </c>
    </row>
    <row r="20" spans="1:10" x14ac:dyDescent="0.25">
      <c r="A20" t="s">
        <v>76</v>
      </c>
      <c r="B20" t="s">
        <v>77</v>
      </c>
      <c r="C20" t="s">
        <v>10</v>
      </c>
      <c r="D20" s="10"/>
      <c r="E20" s="23" t="s">
        <v>59</v>
      </c>
      <c r="F20" s="7"/>
      <c r="G20" t="s">
        <v>57</v>
      </c>
      <c r="H20" s="7"/>
      <c r="J20" t="s">
        <v>128</v>
      </c>
    </row>
    <row r="21" spans="1:10" x14ac:dyDescent="0.25">
      <c r="A21" t="s">
        <v>76</v>
      </c>
      <c r="B21" t="s">
        <v>77</v>
      </c>
      <c r="C21" t="s">
        <v>10</v>
      </c>
      <c r="D21" s="10"/>
      <c r="E21" s="23" t="s">
        <v>59</v>
      </c>
      <c r="F21" s="7"/>
      <c r="G21" t="s">
        <v>57</v>
      </c>
      <c r="H21" s="7"/>
      <c r="J21" t="s">
        <v>128</v>
      </c>
    </row>
    <row r="22" spans="1:10" x14ac:dyDescent="0.25">
      <c r="A22" t="s">
        <v>76</v>
      </c>
      <c r="B22" t="s">
        <v>77</v>
      </c>
      <c r="C22" t="s">
        <v>10</v>
      </c>
      <c r="D22" s="10"/>
      <c r="E22" s="23" t="s">
        <v>59</v>
      </c>
      <c r="F22" s="7"/>
      <c r="G22" t="s">
        <v>57</v>
      </c>
      <c r="H22" s="7"/>
      <c r="J22" t="s">
        <v>128</v>
      </c>
    </row>
    <row r="23" spans="1:10" x14ac:dyDescent="0.25">
      <c r="A23" t="s">
        <v>76</v>
      </c>
      <c r="B23" t="s">
        <v>77</v>
      </c>
      <c r="C23" t="s">
        <v>10</v>
      </c>
      <c r="D23" s="10"/>
      <c r="E23" s="23" t="s">
        <v>11</v>
      </c>
      <c r="F23" s="7"/>
      <c r="G23" t="s">
        <v>12</v>
      </c>
      <c r="H23" s="7"/>
      <c r="J23" t="s">
        <v>128</v>
      </c>
    </row>
    <row r="24" spans="1:10" x14ac:dyDescent="0.25">
      <c r="A24" t="s">
        <v>76</v>
      </c>
      <c r="B24" t="s">
        <v>77</v>
      </c>
      <c r="C24" t="s">
        <v>10</v>
      </c>
      <c r="D24" s="10"/>
      <c r="E24" s="23" t="s">
        <v>53</v>
      </c>
      <c r="F24" s="7"/>
      <c r="G24" t="s">
        <v>12</v>
      </c>
      <c r="H24" s="7"/>
      <c r="J24" t="s">
        <v>128</v>
      </c>
    </row>
    <row r="25" spans="1:10" x14ac:dyDescent="0.25">
      <c r="A25" t="s">
        <v>76</v>
      </c>
      <c r="B25" t="s">
        <v>77</v>
      </c>
      <c r="C25" t="s">
        <v>10</v>
      </c>
      <c r="D25" s="10"/>
      <c r="E25" s="23" t="s">
        <v>58</v>
      </c>
      <c r="F25" s="7"/>
      <c r="G25" t="s">
        <v>12</v>
      </c>
      <c r="H25" s="7"/>
      <c r="J25" t="s">
        <v>128</v>
      </c>
    </row>
    <row r="26" spans="1:10" x14ac:dyDescent="0.25">
      <c r="A26" t="s">
        <v>76</v>
      </c>
      <c r="B26" t="s">
        <v>77</v>
      </c>
      <c r="C26" t="s">
        <v>10</v>
      </c>
      <c r="D26" s="10"/>
      <c r="E26" s="23" t="s">
        <v>71</v>
      </c>
      <c r="F26" s="7"/>
      <c r="G26" t="s">
        <v>12</v>
      </c>
      <c r="H26" s="7"/>
      <c r="J26" t="s">
        <v>128</v>
      </c>
    </row>
    <row r="27" spans="1:10" x14ac:dyDescent="0.25">
      <c r="A27" t="s">
        <v>76</v>
      </c>
      <c r="B27" t="s">
        <v>77</v>
      </c>
      <c r="C27" t="s">
        <v>10</v>
      </c>
      <c r="D27" s="10"/>
      <c r="E27" s="23" t="s">
        <v>43</v>
      </c>
      <c r="F27" s="7"/>
      <c r="G27" t="s">
        <v>12</v>
      </c>
      <c r="H27" s="7"/>
      <c r="J27" t="s">
        <v>128</v>
      </c>
    </row>
    <row r="28" spans="1:10" ht="30" x14ac:dyDescent="0.25">
      <c r="A28" t="s">
        <v>76</v>
      </c>
      <c r="B28" t="s">
        <v>77</v>
      </c>
      <c r="C28" t="s">
        <v>10</v>
      </c>
      <c r="D28" s="10"/>
      <c r="E28" s="23" t="s">
        <v>70</v>
      </c>
      <c r="F28" s="7"/>
      <c r="G28" t="s">
        <v>9</v>
      </c>
      <c r="H28" s="7"/>
      <c r="J28" t="s">
        <v>128</v>
      </c>
    </row>
    <row r="29" spans="1:10" x14ac:dyDescent="0.25">
      <c r="A29" t="s">
        <v>76</v>
      </c>
      <c r="B29" t="s">
        <v>77</v>
      </c>
      <c r="C29" t="s">
        <v>10</v>
      </c>
      <c r="D29" s="10"/>
      <c r="E29" s="23" t="s">
        <v>67</v>
      </c>
      <c r="F29" s="7"/>
      <c r="G29" t="s">
        <v>12</v>
      </c>
      <c r="H29" s="7"/>
      <c r="J29" t="s">
        <v>128</v>
      </c>
    </row>
    <row r="30" spans="1:10" x14ac:dyDescent="0.25">
      <c r="A30" t="s">
        <v>76</v>
      </c>
      <c r="B30" t="s">
        <v>77</v>
      </c>
      <c r="C30" t="s">
        <v>10</v>
      </c>
      <c r="D30" s="10"/>
      <c r="E30" s="23" t="s">
        <v>60</v>
      </c>
      <c r="F30" s="7"/>
      <c r="G30" t="s">
        <v>12</v>
      </c>
      <c r="H30" s="7"/>
      <c r="J30" t="s">
        <v>128</v>
      </c>
    </row>
    <row r="31" spans="1:10" x14ac:dyDescent="0.25">
      <c r="A31" t="s">
        <v>76</v>
      </c>
      <c r="B31" t="s">
        <v>77</v>
      </c>
      <c r="C31" t="s">
        <v>15</v>
      </c>
      <c r="D31" s="10"/>
      <c r="E31" s="23" t="s">
        <v>16</v>
      </c>
      <c r="F31" s="7"/>
      <c r="G31" t="s">
        <v>17</v>
      </c>
      <c r="H31" s="7"/>
      <c r="I31">
        <v>1</v>
      </c>
      <c r="J31" t="s">
        <v>128</v>
      </c>
    </row>
    <row r="32" spans="1:10" ht="30" x14ac:dyDescent="0.25">
      <c r="A32" t="s">
        <v>76</v>
      </c>
      <c r="B32" t="s">
        <v>77</v>
      </c>
      <c r="C32" t="s">
        <v>10</v>
      </c>
      <c r="D32" s="10"/>
      <c r="E32" s="23" t="s">
        <v>61</v>
      </c>
      <c r="F32" s="7"/>
      <c r="G32" t="s">
        <v>9</v>
      </c>
      <c r="H32" s="7"/>
      <c r="J32" t="s">
        <v>128</v>
      </c>
    </row>
    <row r="33" spans="1:10" ht="30" x14ac:dyDescent="0.25">
      <c r="A33" t="s">
        <v>76</v>
      </c>
      <c r="B33" t="s">
        <v>77</v>
      </c>
      <c r="C33" t="s">
        <v>10</v>
      </c>
      <c r="D33" s="10"/>
      <c r="E33" s="23" t="s">
        <v>51</v>
      </c>
      <c r="F33" s="7"/>
      <c r="G33" t="s">
        <v>9</v>
      </c>
      <c r="H33" s="7"/>
      <c r="J33" t="s">
        <v>128</v>
      </c>
    </row>
    <row r="34" spans="1:10" x14ac:dyDescent="0.25">
      <c r="A34" t="s">
        <v>76</v>
      </c>
      <c r="B34" t="s">
        <v>77</v>
      </c>
      <c r="C34" t="s">
        <v>15</v>
      </c>
      <c r="D34" s="10"/>
      <c r="E34" s="23" t="s">
        <v>16</v>
      </c>
      <c r="F34" s="7"/>
      <c r="G34" t="s">
        <v>17</v>
      </c>
      <c r="H34" s="7"/>
      <c r="I34">
        <v>1</v>
      </c>
      <c r="J34" t="s">
        <v>128</v>
      </c>
    </row>
    <row r="35" spans="1:10" ht="30" x14ac:dyDescent="0.25">
      <c r="A35" t="s">
        <v>76</v>
      </c>
      <c r="B35" t="s">
        <v>77</v>
      </c>
      <c r="C35" t="s">
        <v>10</v>
      </c>
      <c r="D35" s="10"/>
      <c r="E35" s="23" t="s">
        <v>33</v>
      </c>
      <c r="F35" s="7"/>
      <c r="G35" t="s">
        <v>9</v>
      </c>
      <c r="H35" s="7"/>
      <c r="J35" t="s">
        <v>128</v>
      </c>
    </row>
    <row r="36" spans="1:10" x14ac:dyDescent="0.25">
      <c r="A36" t="s">
        <v>76</v>
      </c>
      <c r="B36" t="s">
        <v>77</v>
      </c>
      <c r="C36" t="s">
        <v>15</v>
      </c>
      <c r="D36" s="10"/>
      <c r="E36" s="23" t="s">
        <v>16</v>
      </c>
      <c r="F36" s="7"/>
      <c r="G36" t="s">
        <v>17</v>
      </c>
      <c r="H36" s="7"/>
      <c r="I36">
        <v>1</v>
      </c>
      <c r="J36" t="s">
        <v>128</v>
      </c>
    </row>
    <row r="37" spans="1:10" ht="30" x14ac:dyDescent="0.25">
      <c r="A37" t="s">
        <v>76</v>
      </c>
      <c r="B37" t="s">
        <v>77</v>
      </c>
      <c r="C37" t="s">
        <v>10</v>
      </c>
      <c r="D37" s="10"/>
      <c r="E37" s="23" t="s">
        <v>49</v>
      </c>
      <c r="F37" s="7"/>
      <c r="G37" t="s">
        <v>9</v>
      </c>
      <c r="H37" s="7"/>
      <c r="J37" t="s">
        <v>128</v>
      </c>
    </row>
    <row r="38" spans="1:10" ht="30" x14ac:dyDescent="0.25">
      <c r="A38" t="s">
        <v>76</v>
      </c>
      <c r="B38" t="s">
        <v>77</v>
      </c>
      <c r="C38" t="s">
        <v>10</v>
      </c>
      <c r="D38" s="10"/>
      <c r="E38" s="23" t="s">
        <v>27</v>
      </c>
      <c r="F38" s="7"/>
      <c r="G38" t="s">
        <v>26</v>
      </c>
      <c r="H38" s="7"/>
      <c r="J38" t="s">
        <v>128</v>
      </c>
    </row>
    <row r="39" spans="1:10" ht="30" x14ac:dyDescent="0.25">
      <c r="A39" t="s">
        <v>76</v>
      </c>
      <c r="B39" t="s">
        <v>77</v>
      </c>
      <c r="C39" t="s">
        <v>10</v>
      </c>
      <c r="D39" s="10"/>
      <c r="E39" s="23" t="s">
        <v>46</v>
      </c>
      <c r="F39" s="7"/>
      <c r="G39" t="s">
        <v>26</v>
      </c>
      <c r="H39" s="7"/>
      <c r="J39" t="s">
        <v>128</v>
      </c>
    </row>
    <row r="40" spans="1:10" ht="30" x14ac:dyDescent="0.25">
      <c r="A40" t="s">
        <v>76</v>
      </c>
      <c r="B40" t="s">
        <v>77</v>
      </c>
      <c r="C40" t="s">
        <v>10</v>
      </c>
      <c r="D40" s="10"/>
      <c r="E40" s="23" t="s">
        <v>48</v>
      </c>
      <c r="F40" s="7"/>
      <c r="G40" t="s">
        <v>26</v>
      </c>
      <c r="H40" s="7"/>
      <c r="J40" t="s">
        <v>128</v>
      </c>
    </row>
    <row r="41" spans="1:10" ht="30" x14ac:dyDescent="0.25">
      <c r="A41" t="s">
        <v>76</v>
      </c>
      <c r="B41" t="s">
        <v>77</v>
      </c>
      <c r="C41" t="s">
        <v>10</v>
      </c>
      <c r="D41" s="10"/>
      <c r="E41" s="23" t="s">
        <v>62</v>
      </c>
      <c r="F41" s="7"/>
      <c r="G41" t="s">
        <v>9</v>
      </c>
      <c r="H41" s="7"/>
      <c r="J41" t="s">
        <v>128</v>
      </c>
    </row>
    <row r="42" spans="1:10" ht="30" x14ac:dyDescent="0.25">
      <c r="A42" t="s">
        <v>76</v>
      </c>
      <c r="B42" t="s">
        <v>77</v>
      </c>
      <c r="C42" t="s">
        <v>10</v>
      </c>
      <c r="D42" s="10"/>
      <c r="E42" s="23" t="s">
        <v>50</v>
      </c>
      <c r="F42" s="7"/>
      <c r="G42" t="s">
        <v>9</v>
      </c>
      <c r="H42" s="7"/>
      <c r="J42" t="s">
        <v>128</v>
      </c>
    </row>
    <row r="43" spans="1:10" x14ac:dyDescent="0.25">
      <c r="A43" t="s">
        <v>76</v>
      </c>
      <c r="B43" t="s">
        <v>77</v>
      </c>
      <c r="C43" t="s">
        <v>10</v>
      </c>
      <c r="D43" s="10"/>
      <c r="E43" s="23" t="s">
        <v>63</v>
      </c>
      <c r="F43" s="7"/>
      <c r="G43" t="s">
        <v>12</v>
      </c>
      <c r="H43" s="7"/>
      <c r="J43" t="s">
        <v>128</v>
      </c>
    </row>
    <row r="44" spans="1:10" ht="30" x14ac:dyDescent="0.25">
      <c r="A44" t="s">
        <v>76</v>
      </c>
      <c r="B44" t="s">
        <v>77</v>
      </c>
      <c r="C44" t="s">
        <v>10</v>
      </c>
      <c r="D44" s="10"/>
      <c r="E44" s="23" t="s">
        <v>68</v>
      </c>
      <c r="F44" s="7"/>
      <c r="G44" t="s">
        <v>9</v>
      </c>
      <c r="H44" s="7"/>
      <c r="J44" t="s">
        <v>128</v>
      </c>
    </row>
    <row r="45" spans="1:10" x14ac:dyDescent="0.25">
      <c r="A45" t="s">
        <v>76</v>
      </c>
      <c r="B45" t="s">
        <v>77</v>
      </c>
      <c r="C45" t="s">
        <v>10</v>
      </c>
      <c r="D45" s="10"/>
      <c r="E45" s="23" t="s">
        <v>29</v>
      </c>
      <c r="F45" s="7"/>
      <c r="G45" t="s">
        <v>19</v>
      </c>
      <c r="H45" s="7"/>
      <c r="J45" t="s">
        <v>128</v>
      </c>
    </row>
    <row r="46" spans="1:10" x14ac:dyDescent="0.25">
      <c r="A46" t="s">
        <v>76</v>
      </c>
      <c r="B46" t="s">
        <v>77</v>
      </c>
      <c r="C46" t="s">
        <v>10</v>
      </c>
      <c r="D46" s="10"/>
      <c r="E46" s="23" t="s">
        <v>21</v>
      </c>
      <c r="F46" s="7"/>
      <c r="G46" t="s">
        <v>12</v>
      </c>
      <c r="H46" s="7"/>
      <c r="J46" t="s">
        <v>128</v>
      </c>
    </row>
    <row r="47" spans="1:10" x14ac:dyDescent="0.25">
      <c r="A47" t="s">
        <v>76</v>
      </c>
      <c r="B47" t="s">
        <v>77</v>
      </c>
      <c r="C47" t="s">
        <v>15</v>
      </c>
      <c r="D47" s="10"/>
      <c r="E47" s="23" t="s">
        <v>16</v>
      </c>
      <c r="F47" s="7"/>
      <c r="G47" t="s">
        <v>17</v>
      </c>
      <c r="H47" s="7"/>
      <c r="I47">
        <v>1</v>
      </c>
      <c r="J47" t="s">
        <v>128</v>
      </c>
    </row>
    <row r="48" spans="1:10" ht="30" x14ac:dyDescent="0.25">
      <c r="A48" t="s">
        <v>76</v>
      </c>
      <c r="B48" t="s">
        <v>77</v>
      </c>
      <c r="C48" t="s">
        <v>10</v>
      </c>
      <c r="D48" s="10"/>
      <c r="E48" s="23" t="s">
        <v>31</v>
      </c>
      <c r="F48" s="7"/>
      <c r="G48" t="s">
        <v>26</v>
      </c>
      <c r="H48" s="7"/>
      <c r="J48" t="s">
        <v>128</v>
      </c>
    </row>
    <row r="49" spans="1:10" x14ac:dyDescent="0.25">
      <c r="A49" t="s">
        <v>76</v>
      </c>
      <c r="B49" t="s">
        <v>77</v>
      </c>
      <c r="C49" t="s">
        <v>15</v>
      </c>
      <c r="D49" s="10"/>
      <c r="E49" s="23" t="s">
        <v>16</v>
      </c>
      <c r="F49" s="7"/>
      <c r="G49" t="s">
        <v>17</v>
      </c>
      <c r="H49" s="7"/>
      <c r="I49">
        <v>1</v>
      </c>
      <c r="J49" t="s">
        <v>128</v>
      </c>
    </row>
    <row r="50" spans="1:10" x14ac:dyDescent="0.25">
      <c r="A50" t="s">
        <v>85</v>
      </c>
      <c r="B50" t="s">
        <v>86</v>
      </c>
      <c r="C50" t="s">
        <v>15</v>
      </c>
      <c r="D50" s="10"/>
      <c r="E50" s="23" t="s">
        <v>16</v>
      </c>
      <c r="F50" s="7"/>
      <c r="G50" t="s">
        <v>17</v>
      </c>
      <c r="H50" s="7"/>
      <c r="I50">
        <v>1</v>
      </c>
      <c r="J50" t="s">
        <v>128</v>
      </c>
    </row>
    <row r="51" spans="1:10" x14ac:dyDescent="0.25">
      <c r="A51" t="s">
        <v>76</v>
      </c>
      <c r="B51" t="s">
        <v>77</v>
      </c>
      <c r="C51" t="s">
        <v>10</v>
      </c>
      <c r="D51" s="10"/>
      <c r="E51" s="23" t="s">
        <v>36</v>
      </c>
      <c r="F51" s="7"/>
      <c r="G51" t="s">
        <v>26</v>
      </c>
      <c r="H51" s="7"/>
      <c r="J51" t="s">
        <v>128</v>
      </c>
    </row>
    <row r="52" spans="1:10" x14ac:dyDescent="0.25">
      <c r="A52" t="s">
        <v>76</v>
      </c>
      <c r="B52" t="s">
        <v>77</v>
      </c>
      <c r="C52" t="s">
        <v>10</v>
      </c>
      <c r="D52" s="10"/>
      <c r="E52" s="23" t="s">
        <v>64</v>
      </c>
      <c r="F52" s="7"/>
      <c r="G52" t="s">
        <v>12</v>
      </c>
      <c r="H52" s="7"/>
      <c r="J52" t="s">
        <v>128</v>
      </c>
    </row>
    <row r="53" spans="1:10" x14ac:dyDescent="0.25">
      <c r="A53" t="s">
        <v>76</v>
      </c>
      <c r="B53" t="s">
        <v>77</v>
      </c>
      <c r="C53" t="s">
        <v>10</v>
      </c>
      <c r="D53" s="10"/>
      <c r="E53" s="23" t="s">
        <v>69</v>
      </c>
      <c r="F53" s="7"/>
      <c r="G53" t="s">
        <v>12</v>
      </c>
      <c r="H53" s="7"/>
      <c r="J53" t="s">
        <v>128</v>
      </c>
    </row>
    <row r="54" spans="1:10" x14ac:dyDescent="0.25">
      <c r="A54" t="s">
        <v>76</v>
      </c>
      <c r="B54" t="s">
        <v>77</v>
      </c>
      <c r="C54" t="s">
        <v>15</v>
      </c>
      <c r="D54" s="10"/>
      <c r="E54" s="23" t="s">
        <v>16</v>
      </c>
      <c r="F54" s="7"/>
      <c r="G54" t="s">
        <v>17</v>
      </c>
      <c r="H54" s="7"/>
      <c r="I54">
        <v>1</v>
      </c>
      <c r="J54" t="s">
        <v>128</v>
      </c>
    </row>
    <row r="55" spans="1:10" x14ac:dyDescent="0.25">
      <c r="A55" t="s">
        <v>76</v>
      </c>
      <c r="B55" t="s">
        <v>77</v>
      </c>
      <c r="C55" t="s">
        <v>15</v>
      </c>
      <c r="D55" s="10"/>
      <c r="E55" s="23" t="s">
        <v>16</v>
      </c>
      <c r="F55" s="7"/>
      <c r="G55" t="s">
        <v>17</v>
      </c>
      <c r="H55" s="7"/>
      <c r="I55">
        <v>1</v>
      </c>
      <c r="J55" t="s">
        <v>128</v>
      </c>
    </row>
    <row r="56" spans="1:10" x14ac:dyDescent="0.25">
      <c r="A56" t="s">
        <v>76</v>
      </c>
      <c r="B56" t="s">
        <v>77</v>
      </c>
      <c r="C56" t="s">
        <v>15</v>
      </c>
      <c r="D56" s="10"/>
      <c r="E56" s="23" t="s">
        <v>16</v>
      </c>
      <c r="F56" s="7"/>
      <c r="G56" t="s">
        <v>17</v>
      </c>
      <c r="H56" s="7"/>
      <c r="I56">
        <v>1</v>
      </c>
      <c r="J56" t="s">
        <v>128</v>
      </c>
    </row>
    <row r="57" spans="1:10" ht="30" x14ac:dyDescent="0.25">
      <c r="A57" t="s">
        <v>76</v>
      </c>
      <c r="B57" t="s">
        <v>77</v>
      </c>
      <c r="C57" t="s">
        <v>10</v>
      </c>
      <c r="D57" s="10"/>
      <c r="E57" s="23" t="s">
        <v>37</v>
      </c>
      <c r="F57" s="7"/>
      <c r="G57" t="s">
        <v>19</v>
      </c>
      <c r="H57" s="7"/>
      <c r="J57" t="s">
        <v>128</v>
      </c>
    </row>
    <row r="58" spans="1:10" x14ac:dyDescent="0.25">
      <c r="A58" t="s">
        <v>76</v>
      </c>
      <c r="B58" t="s">
        <v>77</v>
      </c>
      <c r="C58" t="s">
        <v>10</v>
      </c>
      <c r="D58" s="10"/>
      <c r="E58" s="23" t="s">
        <v>39</v>
      </c>
      <c r="F58" s="7"/>
      <c r="G58" t="s">
        <v>26</v>
      </c>
      <c r="H58" s="7"/>
      <c r="J58" t="s">
        <v>128</v>
      </c>
    </row>
    <row r="59" spans="1:10" x14ac:dyDescent="0.25">
      <c r="A59" t="s">
        <v>76</v>
      </c>
      <c r="B59" t="s">
        <v>77</v>
      </c>
      <c r="C59" t="s">
        <v>15</v>
      </c>
      <c r="D59" s="10"/>
      <c r="E59" s="23" t="s">
        <v>16</v>
      </c>
      <c r="F59" s="7"/>
      <c r="G59" t="s">
        <v>17</v>
      </c>
      <c r="H59" s="7"/>
      <c r="I59">
        <v>1</v>
      </c>
      <c r="J59" t="s">
        <v>128</v>
      </c>
    </row>
    <row r="60" spans="1:10" ht="30" x14ac:dyDescent="0.25">
      <c r="A60" t="s">
        <v>76</v>
      </c>
      <c r="B60" t="s">
        <v>77</v>
      </c>
      <c r="C60" t="s">
        <v>10</v>
      </c>
      <c r="D60" s="10"/>
      <c r="E60" s="23" t="s">
        <v>30</v>
      </c>
      <c r="F60" s="7"/>
      <c r="G60" t="s">
        <v>26</v>
      </c>
      <c r="H60" s="7"/>
      <c r="J60" t="s">
        <v>128</v>
      </c>
    </row>
    <row r="61" spans="1:10" ht="30" x14ac:dyDescent="0.25">
      <c r="A61" t="s">
        <v>76</v>
      </c>
      <c r="B61" t="s">
        <v>77</v>
      </c>
      <c r="C61" t="s">
        <v>10</v>
      </c>
      <c r="D61" s="10"/>
      <c r="E61" s="23" t="s">
        <v>32</v>
      </c>
      <c r="F61" s="7"/>
      <c r="G61" t="s">
        <v>26</v>
      </c>
      <c r="H61" s="7"/>
      <c r="J61" t="s">
        <v>128</v>
      </c>
    </row>
    <row r="62" spans="1:10" x14ac:dyDescent="0.25">
      <c r="A62" t="s">
        <v>76</v>
      </c>
      <c r="B62" t="s">
        <v>77</v>
      </c>
      <c r="C62" t="s">
        <v>15</v>
      </c>
      <c r="D62" s="10"/>
      <c r="E62" s="23" t="s">
        <v>16</v>
      </c>
      <c r="F62" s="7"/>
      <c r="G62" t="s">
        <v>17</v>
      </c>
      <c r="H62" s="7"/>
      <c r="I62">
        <v>1</v>
      </c>
      <c r="J62" t="s">
        <v>128</v>
      </c>
    </row>
    <row r="63" spans="1:10" x14ac:dyDescent="0.25">
      <c r="A63" t="s">
        <v>76</v>
      </c>
      <c r="B63" t="s">
        <v>77</v>
      </c>
      <c r="C63" t="s">
        <v>10</v>
      </c>
      <c r="D63" s="10"/>
      <c r="E63" s="23" t="s">
        <v>65</v>
      </c>
      <c r="F63" s="7"/>
      <c r="G63" t="s">
        <v>12</v>
      </c>
      <c r="H63" s="7"/>
      <c r="J63" t="s">
        <v>128</v>
      </c>
    </row>
    <row r="64" spans="1:10" x14ac:dyDescent="0.25">
      <c r="A64" t="s">
        <v>76</v>
      </c>
      <c r="B64" t="s">
        <v>77</v>
      </c>
      <c r="C64" t="s">
        <v>15</v>
      </c>
      <c r="D64" s="10"/>
      <c r="E64" s="23" t="s">
        <v>16</v>
      </c>
      <c r="F64" s="7"/>
      <c r="G64" t="s">
        <v>17</v>
      </c>
      <c r="H64" s="7"/>
      <c r="I64">
        <v>1</v>
      </c>
      <c r="J64" t="s">
        <v>128</v>
      </c>
    </row>
    <row r="65" spans="1:10" ht="30" x14ac:dyDescent="0.25">
      <c r="A65" t="s">
        <v>76</v>
      </c>
      <c r="B65" t="s">
        <v>77</v>
      </c>
      <c r="C65" t="s">
        <v>10</v>
      </c>
      <c r="D65" s="10"/>
      <c r="E65" s="23" t="s">
        <v>25</v>
      </c>
      <c r="F65" s="7"/>
      <c r="G65" t="s">
        <v>26</v>
      </c>
      <c r="H65" s="7"/>
      <c r="J65" t="s">
        <v>128</v>
      </c>
    </row>
    <row r="66" spans="1:10" x14ac:dyDescent="0.25">
      <c r="A66" t="s">
        <v>85</v>
      </c>
      <c r="B66" t="s">
        <v>86</v>
      </c>
      <c r="C66" t="s">
        <v>15</v>
      </c>
      <c r="D66" s="10"/>
      <c r="E66" s="23" t="s">
        <v>16</v>
      </c>
      <c r="F66" s="7"/>
      <c r="G66" t="s">
        <v>17</v>
      </c>
      <c r="H66" s="7"/>
      <c r="I66">
        <v>1</v>
      </c>
      <c r="J66" t="s">
        <v>128</v>
      </c>
    </row>
    <row r="67" spans="1:10" x14ac:dyDescent="0.25">
      <c r="A67" t="s">
        <v>76</v>
      </c>
      <c r="B67" t="s">
        <v>77</v>
      </c>
      <c r="C67" t="s">
        <v>15</v>
      </c>
      <c r="D67" s="10"/>
      <c r="E67" s="23" t="s">
        <v>16</v>
      </c>
      <c r="F67" s="7"/>
      <c r="G67" t="s">
        <v>17</v>
      </c>
      <c r="H67" s="7"/>
      <c r="I67">
        <v>1</v>
      </c>
      <c r="J67" t="s">
        <v>128</v>
      </c>
    </row>
    <row r="68" spans="1:10" x14ac:dyDescent="0.25">
      <c r="A68" t="s">
        <v>76</v>
      </c>
      <c r="B68" t="s">
        <v>77</v>
      </c>
      <c r="C68" t="s">
        <v>15</v>
      </c>
      <c r="D68" s="10"/>
      <c r="E68" s="23" t="s">
        <v>16</v>
      </c>
      <c r="F68" s="7"/>
      <c r="G68" t="s">
        <v>17</v>
      </c>
      <c r="H68" s="7"/>
      <c r="I68">
        <v>1</v>
      </c>
      <c r="J68" t="s">
        <v>128</v>
      </c>
    </row>
    <row r="69" spans="1:10" x14ac:dyDescent="0.25">
      <c r="A69" t="s">
        <v>76</v>
      </c>
      <c r="B69" t="s">
        <v>77</v>
      </c>
      <c r="C69" t="s">
        <v>15</v>
      </c>
      <c r="D69" s="10"/>
      <c r="E69" s="23" t="s">
        <v>16</v>
      </c>
      <c r="F69" s="7"/>
      <c r="G69" t="s">
        <v>17</v>
      </c>
      <c r="H69" s="7"/>
      <c r="I69">
        <v>1</v>
      </c>
      <c r="J69" t="s">
        <v>128</v>
      </c>
    </row>
    <row r="70" spans="1:10" x14ac:dyDescent="0.25">
      <c r="A70" t="s">
        <v>76</v>
      </c>
      <c r="B70" t="s">
        <v>77</v>
      </c>
      <c r="C70" t="s">
        <v>15</v>
      </c>
      <c r="D70" s="10"/>
      <c r="E70" s="23" t="s">
        <v>16</v>
      </c>
      <c r="F70" s="7"/>
      <c r="G70" t="s">
        <v>17</v>
      </c>
      <c r="H70" s="7"/>
      <c r="I70">
        <v>1</v>
      </c>
      <c r="J70" t="s">
        <v>128</v>
      </c>
    </row>
    <row r="71" spans="1:10" ht="30" x14ac:dyDescent="0.25">
      <c r="A71" t="s">
        <v>76</v>
      </c>
      <c r="B71" t="s">
        <v>77</v>
      </c>
      <c r="C71" t="s">
        <v>10</v>
      </c>
      <c r="D71" s="10"/>
      <c r="E71" s="23" t="s">
        <v>28</v>
      </c>
      <c r="F71" s="7"/>
      <c r="G71" t="s">
        <v>26</v>
      </c>
      <c r="H71" s="7"/>
      <c r="J71" t="s">
        <v>128</v>
      </c>
    </row>
    <row r="72" spans="1:10" x14ac:dyDescent="0.25">
      <c r="A72" t="s">
        <v>76</v>
      </c>
      <c r="B72" t="s">
        <v>77</v>
      </c>
      <c r="C72" t="s">
        <v>10</v>
      </c>
      <c r="D72" s="10"/>
      <c r="E72" s="23" t="s">
        <v>40</v>
      </c>
      <c r="F72" s="7"/>
      <c r="G72" t="s">
        <v>26</v>
      </c>
      <c r="H72" s="7"/>
      <c r="J72" t="s">
        <v>128</v>
      </c>
    </row>
    <row r="73" spans="1:10" x14ac:dyDescent="0.25">
      <c r="A73" t="s">
        <v>76</v>
      </c>
      <c r="B73" t="s">
        <v>77</v>
      </c>
      <c r="C73" t="s">
        <v>10</v>
      </c>
      <c r="D73" s="10"/>
      <c r="E73" s="23" t="s">
        <v>41</v>
      </c>
      <c r="F73" s="7"/>
      <c r="G73" t="s">
        <v>26</v>
      </c>
      <c r="H73" s="7"/>
      <c r="J73" t="s">
        <v>128</v>
      </c>
    </row>
    <row r="74" spans="1:10" ht="30" x14ac:dyDescent="0.25">
      <c r="A74" t="s">
        <v>76</v>
      </c>
      <c r="B74" t="s">
        <v>77</v>
      </c>
      <c r="C74" t="s">
        <v>10</v>
      </c>
      <c r="D74" s="10"/>
      <c r="E74" s="23" t="s">
        <v>47</v>
      </c>
      <c r="F74" s="7"/>
      <c r="G74" t="s">
        <v>26</v>
      </c>
      <c r="H74" s="7"/>
      <c r="J74" t="s">
        <v>128</v>
      </c>
    </row>
    <row r="75" spans="1:10" x14ac:dyDescent="0.25">
      <c r="A75" t="s">
        <v>76</v>
      </c>
      <c r="B75" t="s">
        <v>77</v>
      </c>
      <c r="C75" t="s">
        <v>10</v>
      </c>
      <c r="D75" s="10"/>
      <c r="E75" s="23" t="s">
        <v>55</v>
      </c>
      <c r="F75" s="7"/>
      <c r="G75" t="s">
        <v>12</v>
      </c>
      <c r="H75" s="7"/>
      <c r="J75" t="s">
        <v>128</v>
      </c>
    </row>
    <row r="76" spans="1:10" x14ac:dyDescent="0.25">
      <c r="A76" t="s">
        <v>76</v>
      </c>
      <c r="B76" t="s">
        <v>77</v>
      </c>
      <c r="C76" t="s">
        <v>15</v>
      </c>
      <c r="D76" s="10"/>
      <c r="E76" s="23" t="s">
        <v>16</v>
      </c>
      <c r="F76" s="7"/>
      <c r="G76" t="s">
        <v>17</v>
      </c>
      <c r="H76" s="7"/>
      <c r="I76">
        <v>1</v>
      </c>
      <c r="J76" t="s">
        <v>128</v>
      </c>
    </row>
    <row r="77" spans="1:10" x14ac:dyDescent="0.25">
      <c r="A77" t="s">
        <v>76</v>
      </c>
      <c r="B77" t="s">
        <v>77</v>
      </c>
      <c r="C77" t="s">
        <v>15</v>
      </c>
      <c r="D77" s="10"/>
      <c r="E77" s="23" t="s">
        <v>16</v>
      </c>
      <c r="F77" s="7"/>
      <c r="G77" t="s">
        <v>17</v>
      </c>
      <c r="H77" s="7"/>
      <c r="I77">
        <v>1</v>
      </c>
      <c r="J77" t="s">
        <v>128</v>
      </c>
    </row>
    <row r="78" spans="1:10" x14ac:dyDescent="0.25">
      <c r="A78" t="s">
        <v>76</v>
      </c>
      <c r="B78" t="s">
        <v>77</v>
      </c>
      <c r="C78" t="s">
        <v>15</v>
      </c>
      <c r="D78" s="10"/>
      <c r="E78" s="23" t="s">
        <v>16</v>
      </c>
      <c r="F78" s="7"/>
      <c r="G78" t="s">
        <v>17</v>
      </c>
      <c r="H78" s="7"/>
      <c r="I78">
        <v>1</v>
      </c>
      <c r="J78" t="s">
        <v>128</v>
      </c>
    </row>
    <row r="79" spans="1:10" x14ac:dyDescent="0.25">
      <c r="A79" t="s">
        <v>76</v>
      </c>
      <c r="B79" t="s">
        <v>77</v>
      </c>
      <c r="C79" t="s">
        <v>15</v>
      </c>
      <c r="D79" s="10"/>
      <c r="E79" s="23" t="s">
        <v>16</v>
      </c>
      <c r="F79" s="7"/>
      <c r="G79" t="s">
        <v>17</v>
      </c>
      <c r="H79" s="7"/>
      <c r="I79">
        <v>1</v>
      </c>
      <c r="J79" t="s">
        <v>128</v>
      </c>
    </row>
    <row r="80" spans="1:10" x14ac:dyDescent="0.25">
      <c r="A80" t="s">
        <v>76</v>
      </c>
      <c r="B80" t="s">
        <v>77</v>
      </c>
      <c r="C80" t="s">
        <v>15</v>
      </c>
      <c r="D80" s="10"/>
      <c r="E80" s="23" t="s">
        <v>16</v>
      </c>
      <c r="F80" s="7"/>
      <c r="G80" t="s">
        <v>17</v>
      </c>
      <c r="H80" s="7"/>
      <c r="I80">
        <v>1</v>
      </c>
      <c r="J80" t="s">
        <v>128</v>
      </c>
    </row>
    <row r="81" spans="1:10" x14ac:dyDescent="0.25">
      <c r="A81" t="s">
        <v>76</v>
      </c>
      <c r="B81" t="s">
        <v>77</v>
      </c>
      <c r="C81" t="s">
        <v>15</v>
      </c>
      <c r="D81" s="10"/>
      <c r="E81" s="23" t="s">
        <v>16</v>
      </c>
      <c r="F81" s="7"/>
      <c r="G81" t="s">
        <v>17</v>
      </c>
      <c r="H81" s="7"/>
      <c r="I81">
        <v>1</v>
      </c>
      <c r="J81" t="s">
        <v>128</v>
      </c>
    </row>
    <row r="82" spans="1:10" x14ac:dyDescent="0.25">
      <c r="A82" t="s">
        <v>76</v>
      </c>
      <c r="B82" t="s">
        <v>77</v>
      </c>
      <c r="C82" t="s">
        <v>10</v>
      </c>
      <c r="D82" s="10"/>
      <c r="E82" s="23" t="s">
        <v>44</v>
      </c>
      <c r="F82" s="7"/>
      <c r="G82" t="s">
        <v>19</v>
      </c>
      <c r="H82" s="7"/>
      <c r="J82" t="s">
        <v>128</v>
      </c>
    </row>
    <row r="83" spans="1:10" x14ac:dyDescent="0.25">
      <c r="A83" t="s">
        <v>76</v>
      </c>
      <c r="B83" t="s">
        <v>77</v>
      </c>
      <c r="C83" t="s">
        <v>15</v>
      </c>
      <c r="D83" s="10"/>
      <c r="E83" s="23" t="s">
        <v>16</v>
      </c>
      <c r="F83" s="7"/>
      <c r="G83" t="s">
        <v>17</v>
      </c>
      <c r="H83" s="7"/>
      <c r="I83">
        <v>1</v>
      </c>
      <c r="J83" t="s">
        <v>128</v>
      </c>
    </row>
    <row r="84" spans="1:10" x14ac:dyDescent="0.25">
      <c r="A84" t="s">
        <v>76</v>
      </c>
      <c r="B84" t="s">
        <v>77</v>
      </c>
      <c r="C84" t="s">
        <v>10</v>
      </c>
      <c r="D84" s="10"/>
      <c r="E84" s="23" t="s">
        <v>35</v>
      </c>
      <c r="F84" s="7"/>
      <c r="G84" t="s">
        <v>19</v>
      </c>
      <c r="H84" s="7"/>
      <c r="J84" t="s">
        <v>128</v>
      </c>
    </row>
    <row r="85" spans="1:10" x14ac:dyDescent="0.25">
      <c r="A85" t="s">
        <v>76</v>
      </c>
      <c r="B85" t="s">
        <v>77</v>
      </c>
      <c r="C85" t="s">
        <v>10</v>
      </c>
      <c r="D85" s="10"/>
      <c r="E85" s="23" t="s">
        <v>29</v>
      </c>
      <c r="F85" s="7"/>
      <c r="G85" t="s">
        <v>19</v>
      </c>
      <c r="H85" s="7"/>
      <c r="J85" t="s">
        <v>128</v>
      </c>
    </row>
    <row r="86" spans="1:10" x14ac:dyDescent="0.25">
      <c r="A86" t="s">
        <v>76</v>
      </c>
      <c r="B86" t="s">
        <v>77</v>
      </c>
      <c r="C86" t="s">
        <v>15</v>
      </c>
      <c r="D86" s="10"/>
      <c r="E86" s="23" t="s">
        <v>16</v>
      </c>
      <c r="F86" s="7"/>
      <c r="G86" t="s">
        <v>17</v>
      </c>
      <c r="H86" s="7"/>
      <c r="I86">
        <v>1</v>
      </c>
      <c r="J86" t="s">
        <v>128</v>
      </c>
    </row>
    <row r="87" spans="1:10" x14ac:dyDescent="0.25">
      <c r="A87" t="s">
        <v>76</v>
      </c>
      <c r="B87" t="s">
        <v>77</v>
      </c>
      <c r="C87" t="s">
        <v>10</v>
      </c>
      <c r="D87" s="10"/>
      <c r="E87" s="23" t="s">
        <v>18</v>
      </c>
      <c r="F87" s="7"/>
      <c r="G87" t="s">
        <v>19</v>
      </c>
      <c r="H87" s="7"/>
      <c r="J87" t="s">
        <v>128</v>
      </c>
    </row>
    <row r="88" spans="1:10" x14ac:dyDescent="0.25">
      <c r="A88" t="s">
        <v>76</v>
      </c>
      <c r="B88" t="s">
        <v>77</v>
      </c>
      <c r="C88" t="s">
        <v>15</v>
      </c>
      <c r="D88" s="10"/>
      <c r="E88" s="23" t="s">
        <v>16</v>
      </c>
      <c r="F88" s="7"/>
      <c r="G88" t="s">
        <v>17</v>
      </c>
      <c r="H88" s="7"/>
      <c r="I88">
        <v>1</v>
      </c>
      <c r="J88" t="s">
        <v>128</v>
      </c>
    </row>
    <row r="89" spans="1:10" x14ac:dyDescent="0.25">
      <c r="A89" t="s">
        <v>76</v>
      </c>
      <c r="B89" t="s">
        <v>77</v>
      </c>
      <c r="C89" t="s">
        <v>15</v>
      </c>
      <c r="D89" s="10"/>
      <c r="E89" s="23" t="s">
        <v>22</v>
      </c>
      <c r="F89" s="7"/>
      <c r="G89" t="s">
        <v>23</v>
      </c>
      <c r="H89" s="7"/>
      <c r="J89" t="s">
        <v>128</v>
      </c>
    </row>
    <row r="90" spans="1:10" x14ac:dyDescent="0.25">
      <c r="A90" t="s">
        <v>85</v>
      </c>
      <c r="B90" t="s">
        <v>86</v>
      </c>
      <c r="C90" t="s">
        <v>10</v>
      </c>
      <c r="D90" s="10"/>
      <c r="E90" s="23" t="s">
        <v>83</v>
      </c>
      <c r="F90" s="7"/>
      <c r="G90" t="s">
        <v>84</v>
      </c>
      <c r="H90" s="7"/>
      <c r="J90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80BA-9434-4075-9D85-1E2419AB2B7F}">
  <dimension ref="B4:C31"/>
  <sheetViews>
    <sheetView workbookViewId="0">
      <selection activeCell="B21" sqref="B21"/>
    </sheetView>
  </sheetViews>
  <sheetFormatPr defaultRowHeight="15" x14ac:dyDescent="0.25"/>
  <cols>
    <col min="2" max="2" width="22" bestFit="1" customWidth="1"/>
    <col min="3" max="3" width="13.7109375" style="7" bestFit="1" customWidth="1"/>
  </cols>
  <sheetData>
    <row r="4" spans="2:3" x14ac:dyDescent="0.25">
      <c r="B4" s="2" t="s">
        <v>73</v>
      </c>
      <c r="C4" s="7" t="s">
        <v>72</v>
      </c>
    </row>
    <row r="5" spans="2:3" x14ac:dyDescent="0.25">
      <c r="B5" s="3" t="s">
        <v>87</v>
      </c>
      <c r="C5" s="7">
        <v>-1746.31</v>
      </c>
    </row>
    <row r="6" spans="2:3" x14ac:dyDescent="0.25">
      <c r="B6" s="5" t="s">
        <v>88</v>
      </c>
      <c r="C6" s="7">
        <v>-1746.31</v>
      </c>
    </row>
    <row r="7" spans="2:3" x14ac:dyDescent="0.25">
      <c r="B7" s="3" t="s">
        <v>112</v>
      </c>
      <c r="C7" s="7">
        <v>-286</v>
      </c>
    </row>
    <row r="8" spans="2:3" x14ac:dyDescent="0.25">
      <c r="B8" s="5" t="s">
        <v>126</v>
      </c>
      <c r="C8" s="7">
        <v>-286</v>
      </c>
    </row>
    <row r="9" spans="2:3" x14ac:dyDescent="0.25">
      <c r="B9" s="3" t="s">
        <v>90</v>
      </c>
      <c r="C9" s="7">
        <v>-7631.74</v>
      </c>
    </row>
    <row r="10" spans="2:3" x14ac:dyDescent="0.25">
      <c r="B10" s="5" t="s">
        <v>118</v>
      </c>
      <c r="C10" s="7">
        <v>-1437.13</v>
      </c>
    </row>
    <row r="11" spans="2:3" x14ac:dyDescent="0.25">
      <c r="B11" s="5" t="s">
        <v>102</v>
      </c>
      <c r="C11" s="7">
        <v>-3156.3900000000003</v>
      </c>
    </row>
    <row r="12" spans="2:3" x14ac:dyDescent="0.25">
      <c r="B12" s="5" t="s">
        <v>93</v>
      </c>
      <c r="C12" s="7">
        <v>-240.2</v>
      </c>
    </row>
    <row r="13" spans="2:3" x14ac:dyDescent="0.25">
      <c r="B13" s="5" t="s">
        <v>98</v>
      </c>
      <c r="C13" s="7">
        <v>-282.19</v>
      </c>
    </row>
    <row r="14" spans="2:3" x14ac:dyDescent="0.25">
      <c r="B14" s="5" t="s">
        <v>109</v>
      </c>
      <c r="C14" s="7">
        <v>-25.9</v>
      </c>
    </row>
    <row r="15" spans="2:3" x14ac:dyDescent="0.25">
      <c r="B15" s="5" t="s">
        <v>95</v>
      </c>
      <c r="C15" s="7">
        <v>-2436.9299999999998</v>
      </c>
    </row>
    <row r="16" spans="2:3" x14ac:dyDescent="0.25">
      <c r="B16" s="5" t="s">
        <v>91</v>
      </c>
      <c r="C16" s="7">
        <v>-53</v>
      </c>
    </row>
    <row r="17" spans="2:3" x14ac:dyDescent="0.25">
      <c r="B17" s="3" t="s">
        <v>74</v>
      </c>
      <c r="C17" s="7">
        <v>-9664.0499999999993</v>
      </c>
    </row>
    <row r="18" spans="2:3" x14ac:dyDescent="0.25">
      <c r="C18"/>
    </row>
    <row r="19" spans="2:3" x14ac:dyDescent="0.25">
      <c r="C19"/>
    </row>
    <row r="20" spans="2:3" x14ac:dyDescent="0.25">
      <c r="C20"/>
    </row>
    <row r="21" spans="2:3" x14ac:dyDescent="0.25">
      <c r="C21"/>
    </row>
    <row r="22" spans="2:3" x14ac:dyDescent="0.25">
      <c r="C22"/>
    </row>
    <row r="23" spans="2:3" x14ac:dyDescent="0.25">
      <c r="C23"/>
    </row>
    <row r="24" spans="2:3" x14ac:dyDescent="0.25">
      <c r="C24"/>
    </row>
    <row r="25" spans="2:3" x14ac:dyDescent="0.25">
      <c r="C25"/>
    </row>
    <row r="26" spans="2:3" x14ac:dyDescent="0.25">
      <c r="C26"/>
    </row>
    <row r="27" spans="2:3" x14ac:dyDescent="0.25">
      <c r="C27"/>
    </row>
    <row r="28" spans="2:3" x14ac:dyDescent="0.25">
      <c r="C28"/>
    </row>
    <row r="29" spans="2:3" x14ac:dyDescent="0.25">
      <c r="C29"/>
    </row>
    <row r="30" spans="2:3" x14ac:dyDescent="0.25">
      <c r="C30"/>
    </row>
    <row r="31" spans="2:3" x14ac:dyDescent="0.25">
      <c r="C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BD63-3133-4B86-B914-CFFBB717727B}">
  <dimension ref="A1:A10"/>
  <sheetViews>
    <sheetView workbookViewId="0">
      <selection activeCell="F20" sqref="F20"/>
    </sheetView>
  </sheetViews>
  <sheetFormatPr defaultRowHeight="15" x14ac:dyDescent="0.25"/>
  <cols>
    <col min="1" max="1" width="39.85546875" customWidth="1"/>
  </cols>
  <sheetData>
    <row r="1" spans="1:1" x14ac:dyDescent="0.25">
      <c r="A1" t="s">
        <v>179</v>
      </c>
    </row>
    <row r="2" spans="1:1" x14ac:dyDescent="0.25">
      <c r="A2" s="3" t="s">
        <v>180</v>
      </c>
    </row>
    <row r="3" spans="1:1" x14ac:dyDescent="0.25">
      <c r="A3" s="3" t="s">
        <v>166</v>
      </c>
    </row>
    <row r="4" spans="1:1" x14ac:dyDescent="0.25">
      <c r="A4" s="3" t="s">
        <v>181</v>
      </c>
    </row>
    <row r="5" spans="1:1" x14ac:dyDescent="0.25">
      <c r="A5" s="3" t="s">
        <v>182</v>
      </c>
    </row>
    <row r="6" spans="1:1" x14ac:dyDescent="0.25">
      <c r="A6" s="3" t="s">
        <v>183</v>
      </c>
    </row>
    <row r="7" spans="1:1" x14ac:dyDescent="0.25">
      <c r="A7" s="3" t="s">
        <v>184</v>
      </c>
    </row>
    <row r="8" spans="1:1" x14ac:dyDescent="0.25">
      <c r="A8" s="3" t="s">
        <v>91</v>
      </c>
    </row>
    <row r="9" spans="1:1" x14ac:dyDescent="0.25">
      <c r="A9" s="3" t="s">
        <v>185</v>
      </c>
    </row>
    <row r="10" spans="1:1" x14ac:dyDescent="0.25">
      <c r="A10" s="3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43CB-70B7-4C3E-84A2-7CFD720E00A8}">
  <dimension ref="A1:H401"/>
  <sheetViews>
    <sheetView tabSelected="1" workbookViewId="0">
      <selection activeCell="D4" sqref="D4"/>
    </sheetView>
  </sheetViews>
  <sheetFormatPr defaultColWidth="24.140625" defaultRowHeight="15" x14ac:dyDescent="0.25"/>
  <cols>
    <col min="2" max="2" width="13.85546875" customWidth="1"/>
    <col min="3" max="3" width="10" customWidth="1"/>
    <col min="4" max="4" width="10.7109375" customWidth="1"/>
    <col min="7" max="7" width="15.28515625" customWidth="1"/>
  </cols>
  <sheetData>
    <row r="1" spans="1:8" x14ac:dyDescent="0.25">
      <c r="A1" t="s">
        <v>75</v>
      </c>
      <c r="B1" t="s">
        <v>4</v>
      </c>
      <c r="C1" t="s">
        <v>0</v>
      </c>
      <c r="D1" t="s">
        <v>1</v>
      </c>
      <c r="E1" t="s">
        <v>2</v>
      </c>
      <c r="F1" t="s">
        <v>4</v>
      </c>
      <c r="G1" t="s">
        <v>6</v>
      </c>
      <c r="H1" t="s">
        <v>3</v>
      </c>
    </row>
    <row r="2" spans="1:8" x14ac:dyDescent="0.25">
      <c r="A2" t="s">
        <v>85</v>
      </c>
      <c r="B2" t="s">
        <v>86</v>
      </c>
      <c r="C2" t="s">
        <v>7</v>
      </c>
      <c r="D2" t="s">
        <v>502</v>
      </c>
      <c r="E2" t="s">
        <v>187</v>
      </c>
      <c r="F2" t="s">
        <v>9</v>
      </c>
      <c r="H2">
        <v>-90.762</v>
      </c>
    </row>
    <row r="3" spans="1:8" x14ac:dyDescent="0.25">
      <c r="A3" t="s">
        <v>85</v>
      </c>
      <c r="B3" t="s">
        <v>86</v>
      </c>
      <c r="C3" t="s">
        <v>7</v>
      </c>
      <c r="D3" t="s">
        <v>503</v>
      </c>
      <c r="E3" t="s">
        <v>188</v>
      </c>
      <c r="F3" t="s">
        <v>9</v>
      </c>
      <c r="H3">
        <v>-90.762</v>
      </c>
    </row>
    <row r="4" spans="1:8" x14ac:dyDescent="0.25">
      <c r="A4" t="s">
        <v>85</v>
      </c>
      <c r="B4" t="s">
        <v>86</v>
      </c>
      <c r="C4" t="s">
        <v>7</v>
      </c>
      <c r="D4" t="s">
        <v>503</v>
      </c>
      <c r="E4" t="s">
        <v>189</v>
      </c>
      <c r="F4" t="s">
        <v>9</v>
      </c>
      <c r="H4">
        <v>-90.762</v>
      </c>
    </row>
    <row r="5" spans="1:8" x14ac:dyDescent="0.25">
      <c r="A5" t="s">
        <v>85</v>
      </c>
      <c r="B5" t="s">
        <v>86</v>
      </c>
      <c r="C5" t="s">
        <v>10</v>
      </c>
      <c r="D5" t="s">
        <v>504</v>
      </c>
      <c r="E5" t="s">
        <v>78</v>
      </c>
      <c r="F5" t="s">
        <v>79</v>
      </c>
      <c r="H5">
        <v>8.6666666666666663E-3</v>
      </c>
    </row>
    <row r="6" spans="1:8" x14ac:dyDescent="0.25">
      <c r="A6" t="s">
        <v>85</v>
      </c>
      <c r="B6" t="s">
        <v>86</v>
      </c>
      <c r="C6" t="s">
        <v>10</v>
      </c>
      <c r="D6" t="s">
        <v>504</v>
      </c>
      <c r="E6" t="s">
        <v>80</v>
      </c>
      <c r="F6" t="s">
        <v>79</v>
      </c>
      <c r="H6">
        <v>1.1333333333333334E-2</v>
      </c>
    </row>
    <row r="7" spans="1:8" x14ac:dyDescent="0.25">
      <c r="A7" t="s">
        <v>85</v>
      </c>
      <c r="B7" t="s">
        <v>86</v>
      </c>
      <c r="C7" t="s">
        <v>7</v>
      </c>
      <c r="D7" t="s">
        <v>505</v>
      </c>
      <c r="E7" t="s">
        <v>81</v>
      </c>
      <c r="F7" t="s">
        <v>8</v>
      </c>
      <c r="H7">
        <v>-0.02</v>
      </c>
    </row>
    <row r="8" spans="1:8" x14ac:dyDescent="0.25">
      <c r="A8" t="s">
        <v>85</v>
      </c>
      <c r="B8" t="s">
        <v>86</v>
      </c>
      <c r="C8" t="s">
        <v>13</v>
      </c>
      <c r="D8" t="s">
        <v>506</v>
      </c>
      <c r="E8" t="s">
        <v>190</v>
      </c>
      <c r="F8" t="s">
        <v>14</v>
      </c>
      <c r="G8">
        <v>1581</v>
      </c>
      <c r="H8">
        <v>-1126.6666666666667</v>
      </c>
    </row>
    <row r="9" spans="1:8" x14ac:dyDescent="0.25">
      <c r="A9" t="s">
        <v>85</v>
      </c>
      <c r="B9" t="s">
        <v>86</v>
      </c>
      <c r="C9" t="s">
        <v>7</v>
      </c>
      <c r="D9" t="s">
        <v>506</v>
      </c>
      <c r="E9" t="s">
        <v>191</v>
      </c>
      <c r="F9" t="s">
        <v>9</v>
      </c>
      <c r="H9">
        <v>-90.762</v>
      </c>
    </row>
    <row r="10" spans="1:8" x14ac:dyDescent="0.25">
      <c r="A10" t="s">
        <v>85</v>
      </c>
      <c r="B10" t="s">
        <v>86</v>
      </c>
      <c r="C10" t="s">
        <v>13</v>
      </c>
      <c r="D10" t="s">
        <v>506</v>
      </c>
      <c r="E10" t="s">
        <v>82</v>
      </c>
      <c r="F10" t="s">
        <v>14</v>
      </c>
      <c r="G10">
        <v>1576</v>
      </c>
      <c r="H10">
        <v>-272.57266666666669</v>
      </c>
    </row>
    <row r="11" spans="1:8" x14ac:dyDescent="0.25">
      <c r="A11" t="s">
        <v>85</v>
      </c>
      <c r="B11" t="s">
        <v>86</v>
      </c>
      <c r="C11" t="s">
        <v>7</v>
      </c>
      <c r="D11" t="s">
        <v>506</v>
      </c>
      <c r="E11" t="s">
        <v>192</v>
      </c>
      <c r="F11" t="s">
        <v>8</v>
      </c>
      <c r="H11">
        <v>-43.627333333333333</v>
      </c>
    </row>
    <row r="12" spans="1:8" x14ac:dyDescent="0.25">
      <c r="A12" t="s">
        <v>85</v>
      </c>
      <c r="B12" t="s">
        <v>86</v>
      </c>
      <c r="C12" t="s">
        <v>7</v>
      </c>
      <c r="D12" t="s">
        <v>507</v>
      </c>
      <c r="E12" t="s">
        <v>193</v>
      </c>
      <c r="F12" t="s">
        <v>9</v>
      </c>
      <c r="H12">
        <v>-90.762</v>
      </c>
    </row>
    <row r="13" spans="1:8" x14ac:dyDescent="0.25">
      <c r="A13" t="s">
        <v>85</v>
      </c>
      <c r="B13" t="s">
        <v>86</v>
      </c>
      <c r="C13" t="s">
        <v>7</v>
      </c>
      <c r="D13" t="s">
        <v>507</v>
      </c>
      <c r="E13" t="s">
        <v>194</v>
      </c>
      <c r="F13" t="s">
        <v>9</v>
      </c>
      <c r="H13">
        <v>-90.762</v>
      </c>
    </row>
    <row r="14" spans="1:8" x14ac:dyDescent="0.25">
      <c r="A14" t="s">
        <v>85</v>
      </c>
      <c r="B14" t="s">
        <v>86</v>
      </c>
      <c r="C14" t="s">
        <v>7</v>
      </c>
      <c r="D14" t="s">
        <v>507</v>
      </c>
      <c r="E14" t="s">
        <v>195</v>
      </c>
      <c r="F14" t="s">
        <v>196</v>
      </c>
      <c r="H14">
        <v>-0.53266666666666673</v>
      </c>
    </row>
    <row r="15" spans="1:8" x14ac:dyDescent="0.25">
      <c r="A15" t="s">
        <v>85</v>
      </c>
      <c r="B15" t="s">
        <v>86</v>
      </c>
      <c r="C15" t="s">
        <v>13</v>
      </c>
      <c r="D15" t="s">
        <v>508</v>
      </c>
      <c r="E15" t="s">
        <v>197</v>
      </c>
      <c r="F15" t="s">
        <v>14</v>
      </c>
      <c r="G15">
        <v>1580</v>
      </c>
      <c r="H15">
        <v>-18.666666666666668</v>
      </c>
    </row>
    <row r="16" spans="1:8" x14ac:dyDescent="0.25">
      <c r="A16" t="s">
        <v>85</v>
      </c>
      <c r="B16" t="s">
        <v>86</v>
      </c>
      <c r="C16" t="s">
        <v>7</v>
      </c>
      <c r="D16" t="s">
        <v>508</v>
      </c>
      <c r="E16" t="s">
        <v>198</v>
      </c>
      <c r="F16" t="s">
        <v>199</v>
      </c>
      <c r="H16">
        <v>-66.666666666666671</v>
      </c>
    </row>
    <row r="17" spans="1:8" x14ac:dyDescent="0.25">
      <c r="A17" t="s">
        <v>85</v>
      </c>
      <c r="B17" t="s">
        <v>86</v>
      </c>
      <c r="C17" t="s">
        <v>7</v>
      </c>
      <c r="D17" t="s">
        <v>508</v>
      </c>
      <c r="E17" t="s">
        <v>200</v>
      </c>
      <c r="F17" t="s">
        <v>8</v>
      </c>
      <c r="H17">
        <v>-1.35</v>
      </c>
    </row>
    <row r="18" spans="1:8" x14ac:dyDescent="0.25">
      <c r="A18" t="s">
        <v>85</v>
      </c>
      <c r="B18" t="s">
        <v>86</v>
      </c>
      <c r="C18" t="s">
        <v>7</v>
      </c>
      <c r="D18" t="s">
        <v>508</v>
      </c>
      <c r="E18" t="s">
        <v>201</v>
      </c>
      <c r="F18" t="s">
        <v>8</v>
      </c>
      <c r="H18">
        <v>-37.930666666666667</v>
      </c>
    </row>
    <row r="19" spans="1:8" x14ac:dyDescent="0.25">
      <c r="A19" t="s">
        <v>85</v>
      </c>
      <c r="B19" t="s">
        <v>86</v>
      </c>
      <c r="C19" t="s">
        <v>13</v>
      </c>
      <c r="D19" t="s">
        <v>509</v>
      </c>
      <c r="E19" t="s">
        <v>202</v>
      </c>
      <c r="F19" t="s">
        <v>14</v>
      </c>
      <c r="G19">
        <v>1578</v>
      </c>
      <c r="H19">
        <v>-366.66666666666669</v>
      </c>
    </row>
    <row r="20" spans="1:8" x14ac:dyDescent="0.25">
      <c r="A20" t="s">
        <v>85</v>
      </c>
      <c r="B20" t="s">
        <v>86</v>
      </c>
      <c r="C20" t="s">
        <v>7</v>
      </c>
      <c r="D20" t="s">
        <v>509</v>
      </c>
      <c r="E20" t="s">
        <v>203</v>
      </c>
      <c r="F20" t="s">
        <v>196</v>
      </c>
      <c r="H20">
        <v>-12.8</v>
      </c>
    </row>
    <row r="21" spans="1:8" x14ac:dyDescent="0.25">
      <c r="A21" t="s">
        <v>85</v>
      </c>
      <c r="B21" t="s">
        <v>86</v>
      </c>
      <c r="C21" t="s">
        <v>13</v>
      </c>
      <c r="D21" t="s">
        <v>510</v>
      </c>
      <c r="E21" t="s">
        <v>204</v>
      </c>
      <c r="F21" t="s">
        <v>14</v>
      </c>
      <c r="G21">
        <v>1577</v>
      </c>
      <c r="H21">
        <v>-163.98599999999999</v>
      </c>
    </row>
    <row r="22" spans="1:8" x14ac:dyDescent="0.25">
      <c r="A22" t="s">
        <v>85</v>
      </c>
      <c r="B22" t="s">
        <v>86</v>
      </c>
      <c r="C22" t="s">
        <v>7</v>
      </c>
      <c r="D22" t="s">
        <v>510</v>
      </c>
      <c r="E22" t="s">
        <v>205</v>
      </c>
      <c r="F22" t="s">
        <v>199</v>
      </c>
      <c r="H22">
        <v>-66.666666666666671</v>
      </c>
    </row>
    <row r="23" spans="1:8" x14ac:dyDescent="0.25">
      <c r="A23" t="s">
        <v>85</v>
      </c>
      <c r="B23" t="s">
        <v>86</v>
      </c>
      <c r="C23" t="s">
        <v>7</v>
      </c>
      <c r="D23" t="s">
        <v>510</v>
      </c>
      <c r="E23" t="s">
        <v>206</v>
      </c>
      <c r="F23" t="s">
        <v>9</v>
      </c>
      <c r="H23">
        <v>-90.762</v>
      </c>
    </row>
    <row r="24" spans="1:8" x14ac:dyDescent="0.25">
      <c r="A24" t="s">
        <v>85</v>
      </c>
      <c r="B24" t="s">
        <v>86</v>
      </c>
      <c r="C24" t="s">
        <v>7</v>
      </c>
      <c r="D24" t="s">
        <v>511</v>
      </c>
      <c r="E24" t="s">
        <v>207</v>
      </c>
      <c r="F24" t="s">
        <v>208</v>
      </c>
      <c r="H24">
        <v>-86.666666666666671</v>
      </c>
    </row>
    <row r="25" spans="1:8" x14ac:dyDescent="0.25">
      <c r="A25" t="s">
        <v>85</v>
      </c>
      <c r="B25" t="s">
        <v>86</v>
      </c>
      <c r="C25" t="s">
        <v>7</v>
      </c>
      <c r="D25" t="s">
        <v>511</v>
      </c>
      <c r="E25" t="s">
        <v>209</v>
      </c>
      <c r="F25" t="s">
        <v>199</v>
      </c>
      <c r="H25">
        <v>-66.666666666666671</v>
      </c>
    </row>
    <row r="26" spans="1:8" x14ac:dyDescent="0.25">
      <c r="A26" t="s">
        <v>85</v>
      </c>
      <c r="B26" t="s">
        <v>86</v>
      </c>
      <c r="C26" t="s">
        <v>7</v>
      </c>
      <c r="D26" t="s">
        <v>511</v>
      </c>
      <c r="E26" t="s">
        <v>210</v>
      </c>
      <c r="F26" t="s">
        <v>9</v>
      </c>
      <c r="H26">
        <v>-90.762</v>
      </c>
    </row>
    <row r="27" spans="1:8" x14ac:dyDescent="0.25">
      <c r="A27" t="s">
        <v>85</v>
      </c>
      <c r="B27" t="s">
        <v>86</v>
      </c>
      <c r="C27" t="s">
        <v>7</v>
      </c>
      <c r="D27" t="s">
        <v>511</v>
      </c>
      <c r="E27" t="s">
        <v>211</v>
      </c>
      <c r="F27" t="s">
        <v>9</v>
      </c>
      <c r="H27">
        <v>-90.762</v>
      </c>
    </row>
    <row r="28" spans="1:8" x14ac:dyDescent="0.25">
      <c r="A28" t="s">
        <v>85</v>
      </c>
      <c r="B28" t="s">
        <v>86</v>
      </c>
      <c r="C28" t="s">
        <v>7</v>
      </c>
      <c r="D28" t="s">
        <v>511</v>
      </c>
      <c r="E28" t="s">
        <v>212</v>
      </c>
      <c r="F28" t="s">
        <v>196</v>
      </c>
      <c r="H28">
        <v>-6.8520000000000003</v>
      </c>
    </row>
    <row r="29" spans="1:8" x14ac:dyDescent="0.25">
      <c r="A29" t="s">
        <v>85</v>
      </c>
      <c r="B29" t="s">
        <v>86</v>
      </c>
      <c r="C29" t="s">
        <v>7</v>
      </c>
      <c r="D29" s="1">
        <v>45638</v>
      </c>
      <c r="E29" t="s">
        <v>213</v>
      </c>
      <c r="F29" t="s">
        <v>199</v>
      </c>
      <c r="H29">
        <v>-26.666666666666668</v>
      </c>
    </row>
    <row r="30" spans="1:8" x14ac:dyDescent="0.25">
      <c r="A30" t="s">
        <v>85</v>
      </c>
      <c r="B30" t="s">
        <v>86</v>
      </c>
      <c r="C30" t="s">
        <v>7</v>
      </c>
      <c r="D30" s="1">
        <v>45638</v>
      </c>
      <c r="E30" t="s">
        <v>214</v>
      </c>
      <c r="F30" t="s">
        <v>8</v>
      </c>
      <c r="H30">
        <v>-2.6833333333333331</v>
      </c>
    </row>
    <row r="31" spans="1:8" x14ac:dyDescent="0.25">
      <c r="A31" t="s">
        <v>85</v>
      </c>
      <c r="B31" t="s">
        <v>86</v>
      </c>
      <c r="C31" t="s">
        <v>7</v>
      </c>
      <c r="D31" s="1">
        <v>45638</v>
      </c>
      <c r="E31" t="s">
        <v>215</v>
      </c>
      <c r="F31" t="s">
        <v>8</v>
      </c>
      <c r="H31">
        <v>-37.930666666666667</v>
      </c>
    </row>
    <row r="32" spans="1:8" x14ac:dyDescent="0.25">
      <c r="A32" t="s">
        <v>85</v>
      </c>
      <c r="B32" t="s">
        <v>86</v>
      </c>
      <c r="C32" t="s">
        <v>7</v>
      </c>
      <c r="D32" s="1">
        <v>45608</v>
      </c>
      <c r="E32" t="s">
        <v>216</v>
      </c>
      <c r="F32" t="s">
        <v>8</v>
      </c>
      <c r="H32">
        <v>-6.35</v>
      </c>
    </row>
    <row r="33" spans="1:8" x14ac:dyDescent="0.25">
      <c r="A33" t="s">
        <v>85</v>
      </c>
      <c r="B33" t="s">
        <v>86</v>
      </c>
      <c r="C33" t="s">
        <v>7</v>
      </c>
      <c r="D33" s="1">
        <v>45608</v>
      </c>
      <c r="E33" t="s">
        <v>217</v>
      </c>
      <c r="F33" t="s">
        <v>8</v>
      </c>
      <c r="H33">
        <v>-41.698</v>
      </c>
    </row>
    <row r="34" spans="1:8" x14ac:dyDescent="0.25">
      <c r="A34" t="s">
        <v>85</v>
      </c>
      <c r="B34" t="s">
        <v>86</v>
      </c>
      <c r="C34" t="s">
        <v>7</v>
      </c>
      <c r="D34" s="1">
        <v>45608</v>
      </c>
      <c r="E34" t="s">
        <v>218</v>
      </c>
      <c r="F34" t="s">
        <v>8</v>
      </c>
      <c r="H34">
        <v>-39.81333333333334</v>
      </c>
    </row>
    <row r="35" spans="1:8" x14ac:dyDescent="0.25">
      <c r="A35" t="s">
        <v>85</v>
      </c>
      <c r="B35" t="s">
        <v>86</v>
      </c>
      <c r="C35" t="s">
        <v>7</v>
      </c>
      <c r="D35" s="1">
        <v>45577</v>
      </c>
      <c r="E35" t="s">
        <v>219</v>
      </c>
      <c r="F35" t="s">
        <v>220</v>
      </c>
      <c r="H35">
        <v>-2</v>
      </c>
    </row>
    <row r="36" spans="1:8" x14ac:dyDescent="0.25">
      <c r="A36" t="s">
        <v>85</v>
      </c>
      <c r="B36" t="s">
        <v>86</v>
      </c>
      <c r="C36" t="s">
        <v>7</v>
      </c>
      <c r="D36" s="1">
        <v>45547</v>
      </c>
      <c r="E36" t="s">
        <v>221</v>
      </c>
      <c r="F36" t="s">
        <v>9</v>
      </c>
      <c r="H36">
        <v>-90.762</v>
      </c>
    </row>
    <row r="37" spans="1:8" x14ac:dyDescent="0.25">
      <c r="A37" t="s">
        <v>85</v>
      </c>
      <c r="B37" t="s">
        <v>86</v>
      </c>
      <c r="C37" t="s">
        <v>7</v>
      </c>
      <c r="D37" s="1">
        <v>45547</v>
      </c>
      <c r="E37" t="s">
        <v>222</v>
      </c>
      <c r="F37" t="s">
        <v>196</v>
      </c>
      <c r="H37">
        <v>-0.19933333333333333</v>
      </c>
    </row>
    <row r="38" spans="1:8" x14ac:dyDescent="0.25">
      <c r="A38" t="s">
        <v>85</v>
      </c>
      <c r="B38" t="s">
        <v>86</v>
      </c>
      <c r="C38" t="s">
        <v>7</v>
      </c>
      <c r="D38" s="1">
        <v>45547</v>
      </c>
      <c r="E38" t="s">
        <v>223</v>
      </c>
      <c r="F38" t="s">
        <v>199</v>
      </c>
      <c r="H38">
        <v>-26.666666666666668</v>
      </c>
    </row>
    <row r="39" spans="1:8" x14ac:dyDescent="0.25">
      <c r="A39" t="s">
        <v>85</v>
      </c>
      <c r="B39" t="s">
        <v>86</v>
      </c>
      <c r="C39" t="s">
        <v>15</v>
      </c>
      <c r="D39" s="1">
        <v>45547</v>
      </c>
      <c r="E39" t="s">
        <v>16</v>
      </c>
      <c r="F39" t="s">
        <v>17</v>
      </c>
      <c r="G39">
        <v>1</v>
      </c>
      <c r="H39">
        <v>153.33333333333334</v>
      </c>
    </row>
    <row r="40" spans="1:8" x14ac:dyDescent="0.25">
      <c r="A40" t="s">
        <v>85</v>
      </c>
      <c r="B40" t="s">
        <v>86</v>
      </c>
      <c r="C40" t="s">
        <v>7</v>
      </c>
      <c r="D40" s="1">
        <v>45455</v>
      </c>
      <c r="E40" t="s">
        <v>224</v>
      </c>
      <c r="F40" t="s">
        <v>9</v>
      </c>
      <c r="H40">
        <v>-90.762</v>
      </c>
    </row>
    <row r="41" spans="1:8" x14ac:dyDescent="0.25">
      <c r="A41" t="s">
        <v>85</v>
      </c>
      <c r="B41" t="s">
        <v>86</v>
      </c>
      <c r="C41" t="s">
        <v>7</v>
      </c>
      <c r="D41" s="1">
        <v>45455</v>
      </c>
      <c r="E41" t="s">
        <v>225</v>
      </c>
      <c r="F41" t="s">
        <v>9</v>
      </c>
      <c r="H41">
        <v>-90.762</v>
      </c>
    </row>
    <row r="42" spans="1:8" x14ac:dyDescent="0.25">
      <c r="A42" t="s">
        <v>85</v>
      </c>
      <c r="B42" t="s">
        <v>86</v>
      </c>
      <c r="C42" t="s">
        <v>15</v>
      </c>
      <c r="D42" s="1">
        <v>45394</v>
      </c>
      <c r="E42" t="s">
        <v>16</v>
      </c>
      <c r="F42" t="s">
        <v>17</v>
      </c>
      <c r="G42">
        <v>1</v>
      </c>
      <c r="H42">
        <v>279.2</v>
      </c>
    </row>
    <row r="43" spans="1:8" x14ac:dyDescent="0.25">
      <c r="A43" t="s">
        <v>85</v>
      </c>
      <c r="B43" t="s">
        <v>86</v>
      </c>
      <c r="C43" t="s">
        <v>10</v>
      </c>
      <c r="D43" s="1">
        <v>45363</v>
      </c>
      <c r="E43" t="s">
        <v>83</v>
      </c>
      <c r="F43" t="s">
        <v>84</v>
      </c>
      <c r="H43">
        <v>3673.4673333333335</v>
      </c>
    </row>
    <row r="44" spans="1:8" x14ac:dyDescent="0.25">
      <c r="A44" t="s">
        <v>76</v>
      </c>
      <c r="B44" t="s">
        <v>77</v>
      </c>
      <c r="C44" t="s">
        <v>7</v>
      </c>
      <c r="D44" s="1">
        <v>45363</v>
      </c>
      <c r="E44" t="s">
        <v>226</v>
      </c>
      <c r="F44" t="s">
        <v>227</v>
      </c>
      <c r="H44">
        <v>-3673.4673333333335</v>
      </c>
    </row>
    <row r="45" spans="1:8" x14ac:dyDescent="0.25">
      <c r="A45" t="s">
        <v>76</v>
      </c>
      <c r="B45" t="s">
        <v>77</v>
      </c>
      <c r="C45" t="s">
        <v>7</v>
      </c>
      <c r="D45" s="1">
        <v>45334</v>
      </c>
      <c r="E45" t="s">
        <v>228</v>
      </c>
      <c r="F45" t="s">
        <v>8</v>
      </c>
      <c r="H45">
        <v>-33.333333333333336</v>
      </c>
    </row>
    <row r="46" spans="1:8" x14ac:dyDescent="0.25">
      <c r="A46" t="s">
        <v>76</v>
      </c>
      <c r="B46" t="s">
        <v>77</v>
      </c>
      <c r="C46" t="s">
        <v>7</v>
      </c>
      <c r="D46" s="1">
        <v>45334</v>
      </c>
      <c r="E46" t="s">
        <v>229</v>
      </c>
      <c r="F46" t="s">
        <v>9</v>
      </c>
      <c r="H46">
        <v>-90.762</v>
      </c>
    </row>
    <row r="47" spans="1:8" x14ac:dyDescent="0.25">
      <c r="A47" t="s">
        <v>76</v>
      </c>
      <c r="B47" t="s">
        <v>77</v>
      </c>
      <c r="C47" t="s">
        <v>7</v>
      </c>
      <c r="D47" s="1">
        <v>45334</v>
      </c>
      <c r="E47" t="s">
        <v>230</v>
      </c>
      <c r="F47" t="s">
        <v>196</v>
      </c>
      <c r="H47">
        <v>-41.525999999999996</v>
      </c>
    </row>
    <row r="48" spans="1:8" x14ac:dyDescent="0.25">
      <c r="A48" t="s">
        <v>76</v>
      </c>
      <c r="B48" t="s">
        <v>77</v>
      </c>
      <c r="C48" t="s">
        <v>10</v>
      </c>
      <c r="D48" s="1">
        <v>45334</v>
      </c>
      <c r="E48" t="s">
        <v>11</v>
      </c>
      <c r="F48" t="s">
        <v>12</v>
      </c>
      <c r="H48">
        <v>6.666666666666667</v>
      </c>
    </row>
    <row r="49" spans="1:8" x14ac:dyDescent="0.25">
      <c r="A49" t="s">
        <v>76</v>
      </c>
      <c r="B49" t="s">
        <v>77</v>
      </c>
      <c r="C49" t="s">
        <v>7</v>
      </c>
      <c r="D49" t="s">
        <v>512</v>
      </c>
      <c r="E49" t="s">
        <v>231</v>
      </c>
      <c r="F49" t="s">
        <v>9</v>
      </c>
      <c r="H49">
        <v>-90.762</v>
      </c>
    </row>
    <row r="50" spans="1:8" x14ac:dyDescent="0.25">
      <c r="A50" t="s">
        <v>76</v>
      </c>
      <c r="B50" t="s">
        <v>77</v>
      </c>
      <c r="C50" t="s">
        <v>7</v>
      </c>
      <c r="D50" t="s">
        <v>512</v>
      </c>
      <c r="E50" t="s">
        <v>232</v>
      </c>
      <c r="F50" t="s">
        <v>8</v>
      </c>
      <c r="H50">
        <v>-1.35</v>
      </c>
    </row>
    <row r="51" spans="1:8" x14ac:dyDescent="0.25">
      <c r="A51" t="s">
        <v>76</v>
      </c>
      <c r="B51" t="s">
        <v>77</v>
      </c>
      <c r="C51" t="s">
        <v>7</v>
      </c>
      <c r="D51" t="s">
        <v>512</v>
      </c>
      <c r="E51" t="s">
        <v>233</v>
      </c>
      <c r="F51" t="s">
        <v>8</v>
      </c>
      <c r="H51">
        <v>-40.690666666666665</v>
      </c>
    </row>
    <row r="52" spans="1:8" x14ac:dyDescent="0.25">
      <c r="A52" t="s">
        <v>76</v>
      </c>
      <c r="B52" t="s">
        <v>77</v>
      </c>
      <c r="C52" t="s">
        <v>13</v>
      </c>
      <c r="D52" t="s">
        <v>513</v>
      </c>
      <c r="E52" t="s">
        <v>234</v>
      </c>
      <c r="F52" t="s">
        <v>14</v>
      </c>
      <c r="G52">
        <v>717</v>
      </c>
      <c r="H52">
        <v>-163.98599999999999</v>
      </c>
    </row>
    <row r="53" spans="1:8" x14ac:dyDescent="0.25">
      <c r="A53" t="s">
        <v>76</v>
      </c>
      <c r="B53" t="s">
        <v>77</v>
      </c>
      <c r="C53" t="s">
        <v>7</v>
      </c>
      <c r="D53" t="s">
        <v>513</v>
      </c>
      <c r="E53" t="s">
        <v>235</v>
      </c>
      <c r="F53" t="s">
        <v>8</v>
      </c>
      <c r="H53">
        <v>-652.34799999999996</v>
      </c>
    </row>
    <row r="54" spans="1:8" x14ac:dyDescent="0.25">
      <c r="A54" t="s">
        <v>76</v>
      </c>
      <c r="B54" t="s">
        <v>77</v>
      </c>
      <c r="C54" t="s">
        <v>13</v>
      </c>
      <c r="D54" t="s">
        <v>513</v>
      </c>
      <c r="E54" t="s">
        <v>236</v>
      </c>
      <c r="F54" t="s">
        <v>14</v>
      </c>
      <c r="G54">
        <v>716</v>
      </c>
      <c r="H54">
        <v>-266.66666666666669</v>
      </c>
    </row>
    <row r="55" spans="1:8" x14ac:dyDescent="0.25">
      <c r="A55" t="s">
        <v>76</v>
      </c>
      <c r="B55" t="s">
        <v>77</v>
      </c>
      <c r="C55" t="s">
        <v>13</v>
      </c>
      <c r="D55" t="s">
        <v>514</v>
      </c>
      <c r="E55" t="s">
        <v>237</v>
      </c>
      <c r="F55" t="s">
        <v>14</v>
      </c>
      <c r="G55">
        <v>710</v>
      </c>
      <c r="H55">
        <v>-73.672666666666657</v>
      </c>
    </row>
    <row r="56" spans="1:8" x14ac:dyDescent="0.25">
      <c r="A56" t="s">
        <v>76</v>
      </c>
      <c r="B56" t="s">
        <v>77</v>
      </c>
      <c r="C56" t="s">
        <v>7</v>
      </c>
      <c r="D56" t="s">
        <v>515</v>
      </c>
      <c r="E56" t="s">
        <v>238</v>
      </c>
      <c r="F56" t="s">
        <v>8</v>
      </c>
      <c r="H56">
        <v>-33.333333333333336</v>
      </c>
    </row>
    <row r="57" spans="1:8" x14ac:dyDescent="0.25">
      <c r="A57" t="s">
        <v>76</v>
      </c>
      <c r="B57" t="s">
        <v>77</v>
      </c>
      <c r="C57" t="s">
        <v>7</v>
      </c>
      <c r="D57" t="s">
        <v>515</v>
      </c>
      <c r="E57" t="s">
        <v>239</v>
      </c>
      <c r="F57" t="s">
        <v>199</v>
      </c>
      <c r="H57">
        <v>-66.666666666666671</v>
      </c>
    </row>
    <row r="58" spans="1:8" x14ac:dyDescent="0.25">
      <c r="A58" t="s">
        <v>76</v>
      </c>
      <c r="B58" t="s">
        <v>77</v>
      </c>
      <c r="C58" t="s">
        <v>7</v>
      </c>
      <c r="D58" t="s">
        <v>515</v>
      </c>
      <c r="E58" t="s">
        <v>240</v>
      </c>
      <c r="F58" t="s">
        <v>9</v>
      </c>
      <c r="H58">
        <v>-90.762</v>
      </c>
    </row>
    <row r="59" spans="1:8" x14ac:dyDescent="0.25">
      <c r="A59" t="s">
        <v>76</v>
      </c>
      <c r="B59" t="s">
        <v>77</v>
      </c>
      <c r="C59" t="s">
        <v>15</v>
      </c>
      <c r="D59" t="s">
        <v>515</v>
      </c>
      <c r="E59" t="s">
        <v>16</v>
      </c>
      <c r="F59" t="s">
        <v>17</v>
      </c>
      <c r="G59">
        <v>1</v>
      </c>
      <c r="H59">
        <v>467.8</v>
      </c>
    </row>
    <row r="60" spans="1:8" x14ac:dyDescent="0.25">
      <c r="A60" t="s">
        <v>76</v>
      </c>
      <c r="B60" t="s">
        <v>77</v>
      </c>
      <c r="C60" t="s">
        <v>15</v>
      </c>
      <c r="D60" t="s">
        <v>515</v>
      </c>
      <c r="E60" t="s">
        <v>16</v>
      </c>
      <c r="F60" t="s">
        <v>17</v>
      </c>
      <c r="G60">
        <v>1</v>
      </c>
      <c r="H60">
        <v>482.93333333333334</v>
      </c>
    </row>
    <row r="61" spans="1:8" x14ac:dyDescent="0.25">
      <c r="A61" t="s">
        <v>76</v>
      </c>
      <c r="B61" t="s">
        <v>77</v>
      </c>
      <c r="C61" t="s">
        <v>7</v>
      </c>
      <c r="D61" t="s">
        <v>516</v>
      </c>
      <c r="E61" t="s">
        <v>241</v>
      </c>
      <c r="F61" t="s">
        <v>242</v>
      </c>
      <c r="H61">
        <v>-120.47</v>
      </c>
    </row>
    <row r="62" spans="1:8" x14ac:dyDescent="0.25">
      <c r="A62" t="s">
        <v>76</v>
      </c>
      <c r="B62" t="s">
        <v>77</v>
      </c>
      <c r="C62" t="s">
        <v>7</v>
      </c>
      <c r="D62" t="s">
        <v>516</v>
      </c>
      <c r="E62" t="s">
        <v>243</v>
      </c>
      <c r="F62" t="s">
        <v>9</v>
      </c>
      <c r="H62">
        <v>-90.762</v>
      </c>
    </row>
    <row r="63" spans="1:8" x14ac:dyDescent="0.25">
      <c r="A63" t="s">
        <v>76</v>
      </c>
      <c r="B63" t="s">
        <v>77</v>
      </c>
      <c r="C63" t="s">
        <v>13</v>
      </c>
      <c r="D63" t="s">
        <v>516</v>
      </c>
      <c r="E63" t="s">
        <v>244</v>
      </c>
      <c r="F63" t="s">
        <v>14</v>
      </c>
      <c r="G63">
        <v>1000</v>
      </c>
      <c r="H63">
        <v>-266.66666666666669</v>
      </c>
    </row>
    <row r="64" spans="1:8" x14ac:dyDescent="0.25">
      <c r="A64" t="s">
        <v>76</v>
      </c>
      <c r="B64" t="s">
        <v>77</v>
      </c>
      <c r="C64" t="s">
        <v>7</v>
      </c>
      <c r="D64" t="s">
        <v>516</v>
      </c>
      <c r="E64" t="s">
        <v>245</v>
      </c>
      <c r="F64" t="s">
        <v>196</v>
      </c>
      <c r="H64">
        <v>-43.627333333333333</v>
      </c>
    </row>
    <row r="65" spans="1:8" x14ac:dyDescent="0.25">
      <c r="A65" t="s">
        <v>76</v>
      </c>
      <c r="B65" t="s">
        <v>77</v>
      </c>
      <c r="C65" t="s">
        <v>7</v>
      </c>
      <c r="D65" t="s">
        <v>517</v>
      </c>
      <c r="E65" t="s">
        <v>246</v>
      </c>
      <c r="F65" t="s">
        <v>8</v>
      </c>
      <c r="H65">
        <v>-1.35</v>
      </c>
    </row>
    <row r="66" spans="1:8" x14ac:dyDescent="0.25">
      <c r="A66" t="s">
        <v>76</v>
      </c>
      <c r="B66" t="s">
        <v>77</v>
      </c>
      <c r="C66" t="s">
        <v>7</v>
      </c>
      <c r="D66" t="s">
        <v>517</v>
      </c>
      <c r="E66" t="s">
        <v>247</v>
      </c>
      <c r="F66" t="s">
        <v>8</v>
      </c>
      <c r="H66">
        <v>-40.690666666666665</v>
      </c>
    </row>
    <row r="67" spans="1:8" x14ac:dyDescent="0.25">
      <c r="A67" t="s">
        <v>76</v>
      </c>
      <c r="B67" t="s">
        <v>77</v>
      </c>
      <c r="C67" t="s">
        <v>7</v>
      </c>
      <c r="D67" t="s">
        <v>517</v>
      </c>
      <c r="E67" t="s">
        <v>248</v>
      </c>
      <c r="F67" t="s">
        <v>196</v>
      </c>
      <c r="H67">
        <v>-0.53266666666666673</v>
      </c>
    </row>
    <row r="68" spans="1:8" x14ac:dyDescent="0.25">
      <c r="A68" t="s">
        <v>76</v>
      </c>
      <c r="B68" t="s">
        <v>77</v>
      </c>
      <c r="C68" t="s">
        <v>7</v>
      </c>
      <c r="D68" t="s">
        <v>518</v>
      </c>
      <c r="E68" t="s">
        <v>249</v>
      </c>
      <c r="F68" t="s">
        <v>196</v>
      </c>
      <c r="H68">
        <v>-80</v>
      </c>
    </row>
    <row r="69" spans="1:8" x14ac:dyDescent="0.25">
      <c r="A69" t="s">
        <v>76</v>
      </c>
      <c r="B69" t="s">
        <v>77</v>
      </c>
      <c r="C69" t="s">
        <v>7</v>
      </c>
      <c r="D69" t="s">
        <v>519</v>
      </c>
      <c r="E69" t="s">
        <v>250</v>
      </c>
      <c r="F69" t="s">
        <v>199</v>
      </c>
      <c r="H69">
        <v>-66.666666666666671</v>
      </c>
    </row>
    <row r="70" spans="1:8" x14ac:dyDescent="0.25">
      <c r="A70" t="s">
        <v>76</v>
      </c>
      <c r="B70" t="s">
        <v>77</v>
      </c>
      <c r="C70" t="s">
        <v>7</v>
      </c>
      <c r="D70" t="s">
        <v>519</v>
      </c>
      <c r="E70" t="s">
        <v>251</v>
      </c>
      <c r="F70" t="s">
        <v>196</v>
      </c>
      <c r="H70">
        <v>-2.6839999999999997</v>
      </c>
    </row>
    <row r="71" spans="1:8" x14ac:dyDescent="0.25">
      <c r="A71" t="s">
        <v>76</v>
      </c>
      <c r="B71" t="s">
        <v>77</v>
      </c>
      <c r="C71" t="s">
        <v>10</v>
      </c>
      <c r="D71" t="s">
        <v>519</v>
      </c>
      <c r="E71" t="s">
        <v>18</v>
      </c>
      <c r="F71" t="s">
        <v>19</v>
      </c>
      <c r="H71">
        <v>2577.0846666666666</v>
      </c>
    </row>
    <row r="72" spans="1:8" x14ac:dyDescent="0.25">
      <c r="A72" t="s">
        <v>76</v>
      </c>
      <c r="B72" t="s">
        <v>77</v>
      </c>
      <c r="C72" t="s">
        <v>7</v>
      </c>
      <c r="D72" t="s">
        <v>520</v>
      </c>
      <c r="E72" t="s">
        <v>252</v>
      </c>
      <c r="F72" t="s">
        <v>8</v>
      </c>
      <c r="H72">
        <v>-33.333333333333336</v>
      </c>
    </row>
    <row r="73" spans="1:8" x14ac:dyDescent="0.25">
      <c r="A73" t="s">
        <v>76</v>
      </c>
      <c r="B73" t="s">
        <v>77</v>
      </c>
      <c r="C73" t="s">
        <v>13</v>
      </c>
      <c r="D73" t="s">
        <v>520</v>
      </c>
      <c r="E73" t="s">
        <v>20</v>
      </c>
      <c r="F73" t="s">
        <v>14</v>
      </c>
      <c r="G73">
        <v>713</v>
      </c>
      <c r="H73">
        <v>-272.57266666666669</v>
      </c>
    </row>
    <row r="74" spans="1:8" x14ac:dyDescent="0.25">
      <c r="A74" t="s">
        <v>76</v>
      </c>
      <c r="B74" t="s">
        <v>77</v>
      </c>
      <c r="C74" t="s">
        <v>7</v>
      </c>
      <c r="D74" t="s">
        <v>520</v>
      </c>
      <c r="E74" t="s">
        <v>253</v>
      </c>
      <c r="F74" t="s">
        <v>9</v>
      </c>
      <c r="H74">
        <v>-90.762</v>
      </c>
    </row>
    <row r="75" spans="1:8" x14ac:dyDescent="0.25">
      <c r="A75" t="s">
        <v>76</v>
      </c>
      <c r="B75" t="s">
        <v>77</v>
      </c>
      <c r="C75" t="s">
        <v>7</v>
      </c>
      <c r="D75" t="s">
        <v>520</v>
      </c>
      <c r="E75" t="s">
        <v>254</v>
      </c>
      <c r="F75" t="s">
        <v>199</v>
      </c>
      <c r="H75">
        <v>-40</v>
      </c>
    </row>
    <row r="76" spans="1:8" x14ac:dyDescent="0.25">
      <c r="A76" t="s">
        <v>76</v>
      </c>
      <c r="B76" t="s">
        <v>77</v>
      </c>
      <c r="C76" t="s">
        <v>7</v>
      </c>
      <c r="D76" t="s">
        <v>520</v>
      </c>
      <c r="E76" t="s">
        <v>255</v>
      </c>
      <c r="F76" t="s">
        <v>196</v>
      </c>
      <c r="H76">
        <v>-1.6679999999999999</v>
      </c>
    </row>
    <row r="77" spans="1:8" x14ac:dyDescent="0.25">
      <c r="A77" t="s">
        <v>76</v>
      </c>
      <c r="B77" t="s">
        <v>77</v>
      </c>
      <c r="C77" t="s">
        <v>15</v>
      </c>
      <c r="D77" t="s">
        <v>520</v>
      </c>
      <c r="E77" t="s">
        <v>16</v>
      </c>
      <c r="F77" t="s">
        <v>17</v>
      </c>
      <c r="G77">
        <v>1</v>
      </c>
      <c r="H77">
        <v>23.333333333333332</v>
      </c>
    </row>
    <row r="78" spans="1:8" x14ac:dyDescent="0.25">
      <c r="A78" t="s">
        <v>76</v>
      </c>
      <c r="B78" t="s">
        <v>77</v>
      </c>
      <c r="C78" t="s">
        <v>7</v>
      </c>
      <c r="D78" t="s">
        <v>521</v>
      </c>
      <c r="E78" t="s">
        <v>256</v>
      </c>
      <c r="F78" t="s">
        <v>199</v>
      </c>
      <c r="H78">
        <v>-53.333333333333336</v>
      </c>
    </row>
    <row r="79" spans="1:8" x14ac:dyDescent="0.25">
      <c r="A79" t="s">
        <v>76</v>
      </c>
      <c r="B79" t="s">
        <v>77</v>
      </c>
      <c r="C79" t="s">
        <v>7</v>
      </c>
      <c r="D79" t="s">
        <v>521</v>
      </c>
      <c r="E79" t="s">
        <v>257</v>
      </c>
      <c r="F79" t="s">
        <v>242</v>
      </c>
      <c r="H79">
        <v>-743.81200000000001</v>
      </c>
    </row>
    <row r="80" spans="1:8" x14ac:dyDescent="0.25">
      <c r="A80" t="s">
        <v>76</v>
      </c>
      <c r="B80" t="s">
        <v>77</v>
      </c>
      <c r="C80" t="s">
        <v>7</v>
      </c>
      <c r="D80" t="s">
        <v>521</v>
      </c>
      <c r="E80" t="s">
        <v>258</v>
      </c>
      <c r="F80" t="s">
        <v>9</v>
      </c>
      <c r="H80">
        <v>-90.762</v>
      </c>
    </row>
    <row r="81" spans="1:8" x14ac:dyDescent="0.25">
      <c r="A81" t="s">
        <v>76</v>
      </c>
      <c r="B81" t="s">
        <v>77</v>
      </c>
      <c r="C81" t="s">
        <v>13</v>
      </c>
      <c r="D81" t="s">
        <v>522</v>
      </c>
      <c r="E81" t="s">
        <v>259</v>
      </c>
      <c r="F81" t="s">
        <v>14</v>
      </c>
      <c r="G81">
        <v>712</v>
      </c>
      <c r="H81">
        <v>-9.3333333333333339</v>
      </c>
    </row>
    <row r="82" spans="1:8" x14ac:dyDescent="0.25">
      <c r="A82" t="s">
        <v>76</v>
      </c>
      <c r="B82" t="s">
        <v>77</v>
      </c>
      <c r="C82" t="s">
        <v>13</v>
      </c>
      <c r="D82" t="s">
        <v>522</v>
      </c>
      <c r="E82" t="s">
        <v>260</v>
      </c>
      <c r="F82" t="s">
        <v>14</v>
      </c>
      <c r="G82">
        <v>708</v>
      </c>
      <c r="H82">
        <v>-9.3333333333333339</v>
      </c>
    </row>
    <row r="83" spans="1:8" x14ac:dyDescent="0.25">
      <c r="A83" t="s">
        <v>76</v>
      </c>
      <c r="B83" t="s">
        <v>77</v>
      </c>
      <c r="C83" t="s">
        <v>13</v>
      </c>
      <c r="D83" t="s">
        <v>522</v>
      </c>
      <c r="E83" t="s">
        <v>261</v>
      </c>
      <c r="F83" t="s">
        <v>14</v>
      </c>
      <c r="G83">
        <v>711</v>
      </c>
      <c r="H83">
        <v>-9.3333333333333339</v>
      </c>
    </row>
    <row r="84" spans="1:8" x14ac:dyDescent="0.25">
      <c r="A84" t="s">
        <v>76</v>
      </c>
      <c r="B84" t="s">
        <v>77</v>
      </c>
      <c r="C84" t="s">
        <v>7</v>
      </c>
      <c r="D84" t="s">
        <v>522</v>
      </c>
      <c r="E84" t="s">
        <v>262</v>
      </c>
      <c r="F84" t="s">
        <v>8</v>
      </c>
      <c r="H84">
        <v>-1.35</v>
      </c>
    </row>
    <row r="85" spans="1:8" x14ac:dyDescent="0.25">
      <c r="A85" t="s">
        <v>76</v>
      </c>
      <c r="B85" t="s">
        <v>77</v>
      </c>
      <c r="C85" t="s">
        <v>7</v>
      </c>
      <c r="D85" t="s">
        <v>522</v>
      </c>
      <c r="E85" t="s">
        <v>263</v>
      </c>
      <c r="F85" t="s">
        <v>8</v>
      </c>
      <c r="H85">
        <v>-40.850666666666669</v>
      </c>
    </row>
    <row r="86" spans="1:8" x14ac:dyDescent="0.25">
      <c r="A86" t="s">
        <v>76</v>
      </c>
      <c r="B86" t="s">
        <v>77</v>
      </c>
      <c r="C86" t="s">
        <v>15</v>
      </c>
      <c r="D86" t="s">
        <v>522</v>
      </c>
      <c r="E86" t="s">
        <v>16</v>
      </c>
      <c r="F86" t="s">
        <v>17</v>
      </c>
      <c r="G86">
        <v>1</v>
      </c>
      <c r="H86">
        <v>175.06666666666666</v>
      </c>
    </row>
    <row r="87" spans="1:8" x14ac:dyDescent="0.25">
      <c r="A87" t="s">
        <v>76</v>
      </c>
      <c r="B87" t="s">
        <v>77</v>
      </c>
      <c r="C87" t="s">
        <v>15</v>
      </c>
      <c r="D87" t="s">
        <v>522</v>
      </c>
      <c r="E87" t="s">
        <v>16</v>
      </c>
      <c r="F87" t="s">
        <v>17</v>
      </c>
      <c r="G87">
        <v>1</v>
      </c>
      <c r="H87">
        <v>247.93333333333334</v>
      </c>
    </row>
    <row r="88" spans="1:8" x14ac:dyDescent="0.25">
      <c r="A88" t="s">
        <v>76</v>
      </c>
      <c r="B88" t="s">
        <v>77</v>
      </c>
      <c r="C88" t="s">
        <v>7</v>
      </c>
      <c r="D88" s="1">
        <v>45637</v>
      </c>
      <c r="E88" t="s">
        <v>264</v>
      </c>
      <c r="F88" t="s">
        <v>8</v>
      </c>
      <c r="H88">
        <v>-3.3333333333333335</v>
      </c>
    </row>
    <row r="89" spans="1:8" x14ac:dyDescent="0.25">
      <c r="A89" t="s">
        <v>76</v>
      </c>
      <c r="B89" t="s">
        <v>77</v>
      </c>
      <c r="C89" t="s">
        <v>7</v>
      </c>
      <c r="D89" s="1">
        <v>45637</v>
      </c>
      <c r="E89" t="s">
        <v>265</v>
      </c>
      <c r="F89" t="s">
        <v>8</v>
      </c>
      <c r="H89">
        <v>-33.333333333333336</v>
      </c>
    </row>
    <row r="90" spans="1:8" x14ac:dyDescent="0.25">
      <c r="A90" t="s">
        <v>76</v>
      </c>
      <c r="B90" t="s">
        <v>77</v>
      </c>
      <c r="C90" t="s">
        <v>7</v>
      </c>
      <c r="D90" s="1">
        <v>45637</v>
      </c>
      <c r="E90" t="s">
        <v>266</v>
      </c>
      <c r="F90" t="s">
        <v>199</v>
      </c>
      <c r="H90">
        <v>-66.666666666666671</v>
      </c>
    </row>
    <row r="91" spans="1:8" x14ac:dyDescent="0.25">
      <c r="A91" t="s">
        <v>76</v>
      </c>
      <c r="B91" t="s">
        <v>77</v>
      </c>
      <c r="C91" t="s">
        <v>15</v>
      </c>
      <c r="D91" s="1">
        <v>45637</v>
      </c>
      <c r="E91" t="s">
        <v>16</v>
      </c>
      <c r="F91" t="s">
        <v>17</v>
      </c>
      <c r="G91">
        <v>1</v>
      </c>
      <c r="H91">
        <v>128.73333333333332</v>
      </c>
    </row>
    <row r="92" spans="1:8" x14ac:dyDescent="0.25">
      <c r="A92" t="s">
        <v>76</v>
      </c>
      <c r="B92" t="s">
        <v>77</v>
      </c>
      <c r="C92" t="s">
        <v>7</v>
      </c>
      <c r="D92" s="1">
        <v>45515</v>
      </c>
      <c r="E92" t="s">
        <v>267</v>
      </c>
      <c r="F92" t="s">
        <v>227</v>
      </c>
      <c r="H92">
        <v>-133.33333333333334</v>
      </c>
    </row>
    <row r="93" spans="1:8" x14ac:dyDescent="0.25">
      <c r="A93" t="s">
        <v>76</v>
      </c>
      <c r="B93" t="s">
        <v>77</v>
      </c>
      <c r="C93" t="s">
        <v>7</v>
      </c>
      <c r="D93" s="1">
        <v>45515</v>
      </c>
      <c r="E93" t="s">
        <v>268</v>
      </c>
      <c r="F93" t="s">
        <v>199</v>
      </c>
      <c r="H93">
        <v>-53.333333333333336</v>
      </c>
    </row>
    <row r="94" spans="1:8" x14ac:dyDescent="0.25">
      <c r="A94" t="s">
        <v>76</v>
      </c>
      <c r="B94" t="s">
        <v>77</v>
      </c>
      <c r="C94" t="s">
        <v>7</v>
      </c>
      <c r="D94" s="1">
        <v>45515</v>
      </c>
      <c r="E94" t="s">
        <v>269</v>
      </c>
      <c r="F94" t="s">
        <v>9</v>
      </c>
      <c r="H94">
        <v>-90.762</v>
      </c>
    </row>
    <row r="95" spans="1:8" x14ac:dyDescent="0.25">
      <c r="A95" t="s">
        <v>76</v>
      </c>
      <c r="B95" t="s">
        <v>77</v>
      </c>
      <c r="C95" t="s">
        <v>7</v>
      </c>
      <c r="D95" s="1">
        <v>45515</v>
      </c>
      <c r="E95" t="s">
        <v>270</v>
      </c>
      <c r="F95" t="s">
        <v>196</v>
      </c>
      <c r="H95">
        <v>-0.19933333333333333</v>
      </c>
    </row>
    <row r="96" spans="1:8" x14ac:dyDescent="0.25">
      <c r="A96" t="s">
        <v>76</v>
      </c>
      <c r="B96" t="s">
        <v>77</v>
      </c>
      <c r="C96" t="s">
        <v>7</v>
      </c>
      <c r="D96" s="1">
        <v>45484</v>
      </c>
      <c r="E96" t="s">
        <v>271</v>
      </c>
      <c r="F96" t="s">
        <v>199</v>
      </c>
      <c r="H96">
        <v>-66.666666666666671</v>
      </c>
    </row>
    <row r="97" spans="1:8" x14ac:dyDescent="0.25">
      <c r="A97" t="s">
        <v>76</v>
      </c>
      <c r="B97" t="s">
        <v>77</v>
      </c>
      <c r="C97" t="s">
        <v>7</v>
      </c>
      <c r="D97" s="1">
        <v>45484</v>
      </c>
      <c r="E97" t="s">
        <v>272</v>
      </c>
      <c r="F97" t="s">
        <v>8</v>
      </c>
      <c r="H97">
        <v>-4.6833333333333336</v>
      </c>
    </row>
    <row r="98" spans="1:8" x14ac:dyDescent="0.25">
      <c r="A98" t="s">
        <v>76</v>
      </c>
      <c r="B98" t="s">
        <v>77</v>
      </c>
      <c r="C98" t="s">
        <v>7</v>
      </c>
      <c r="D98" s="1">
        <v>45484</v>
      </c>
      <c r="E98" t="s">
        <v>273</v>
      </c>
      <c r="F98" t="s">
        <v>8</v>
      </c>
      <c r="H98">
        <v>-41.410666666666664</v>
      </c>
    </row>
    <row r="99" spans="1:8" x14ac:dyDescent="0.25">
      <c r="A99" t="s">
        <v>76</v>
      </c>
      <c r="B99" t="s">
        <v>77</v>
      </c>
      <c r="C99" t="s">
        <v>7</v>
      </c>
      <c r="D99" s="1">
        <v>45423</v>
      </c>
      <c r="E99" t="s">
        <v>274</v>
      </c>
      <c r="F99" t="s">
        <v>8</v>
      </c>
      <c r="H99">
        <v>-333.33333333333331</v>
      </c>
    </row>
    <row r="100" spans="1:8" x14ac:dyDescent="0.25">
      <c r="A100" t="s">
        <v>76</v>
      </c>
      <c r="B100" t="s">
        <v>77</v>
      </c>
      <c r="C100" t="s">
        <v>15</v>
      </c>
      <c r="D100" s="1">
        <v>45423</v>
      </c>
      <c r="E100" t="s">
        <v>16</v>
      </c>
      <c r="F100" t="s">
        <v>17</v>
      </c>
      <c r="G100">
        <v>1</v>
      </c>
      <c r="H100">
        <v>400</v>
      </c>
    </row>
    <row r="101" spans="1:8" x14ac:dyDescent="0.25">
      <c r="A101" t="s">
        <v>76</v>
      </c>
      <c r="B101" t="s">
        <v>77</v>
      </c>
      <c r="C101" t="s">
        <v>7</v>
      </c>
      <c r="D101" s="1">
        <v>45393</v>
      </c>
      <c r="E101" t="s">
        <v>275</v>
      </c>
      <c r="F101" t="s">
        <v>8</v>
      </c>
      <c r="H101">
        <v>-33.333333333333336</v>
      </c>
    </row>
    <row r="102" spans="1:8" x14ac:dyDescent="0.25">
      <c r="A102" t="s">
        <v>76</v>
      </c>
      <c r="B102" t="s">
        <v>77</v>
      </c>
      <c r="C102" t="s">
        <v>13</v>
      </c>
      <c r="D102" s="1">
        <v>45393</v>
      </c>
      <c r="E102" t="s">
        <v>276</v>
      </c>
      <c r="F102" t="s">
        <v>14</v>
      </c>
      <c r="G102">
        <v>709</v>
      </c>
      <c r="H102">
        <v>-163.98599999999999</v>
      </c>
    </row>
    <row r="103" spans="1:8" x14ac:dyDescent="0.25">
      <c r="A103" t="s">
        <v>76</v>
      </c>
      <c r="B103" t="s">
        <v>77</v>
      </c>
      <c r="C103" t="s">
        <v>7</v>
      </c>
      <c r="D103" s="1">
        <v>45393</v>
      </c>
      <c r="E103" t="s">
        <v>277</v>
      </c>
      <c r="F103" t="s">
        <v>199</v>
      </c>
      <c r="H103">
        <v>-66.666666666666671</v>
      </c>
    </row>
    <row r="104" spans="1:8" x14ac:dyDescent="0.25">
      <c r="A104" t="s">
        <v>76</v>
      </c>
      <c r="B104" t="s">
        <v>77</v>
      </c>
      <c r="C104" t="s">
        <v>7</v>
      </c>
      <c r="D104" s="1">
        <v>45393</v>
      </c>
      <c r="E104" t="s">
        <v>278</v>
      </c>
      <c r="F104" t="s">
        <v>196</v>
      </c>
      <c r="H104">
        <v>-133.33333333333334</v>
      </c>
    </row>
    <row r="105" spans="1:8" x14ac:dyDescent="0.25">
      <c r="A105" t="s">
        <v>76</v>
      </c>
      <c r="B105" t="s">
        <v>77</v>
      </c>
      <c r="C105" t="s">
        <v>7</v>
      </c>
      <c r="D105" s="1">
        <v>45302</v>
      </c>
      <c r="E105" t="s">
        <v>279</v>
      </c>
      <c r="F105" t="s">
        <v>280</v>
      </c>
      <c r="H105">
        <v>-113.33333333333333</v>
      </c>
    </row>
    <row r="106" spans="1:8" x14ac:dyDescent="0.25">
      <c r="A106" t="s">
        <v>76</v>
      </c>
      <c r="B106" t="s">
        <v>77</v>
      </c>
      <c r="C106" t="s">
        <v>7</v>
      </c>
      <c r="D106" s="1">
        <v>45302</v>
      </c>
      <c r="E106" t="s">
        <v>281</v>
      </c>
      <c r="F106" t="s">
        <v>9</v>
      </c>
      <c r="H106">
        <v>-66.666666666666671</v>
      </c>
    </row>
    <row r="107" spans="1:8" x14ac:dyDescent="0.25">
      <c r="A107" t="s">
        <v>76</v>
      </c>
      <c r="B107" t="s">
        <v>77</v>
      </c>
      <c r="C107" t="s">
        <v>7</v>
      </c>
      <c r="D107" s="1">
        <v>45302</v>
      </c>
      <c r="E107" t="s">
        <v>282</v>
      </c>
      <c r="F107" t="s">
        <v>196</v>
      </c>
      <c r="H107">
        <v>-1.3986666666666667</v>
      </c>
    </row>
    <row r="108" spans="1:8" x14ac:dyDescent="0.25">
      <c r="A108" t="s">
        <v>76</v>
      </c>
      <c r="B108" t="s">
        <v>77</v>
      </c>
      <c r="C108" t="s">
        <v>10</v>
      </c>
      <c r="D108" s="1">
        <v>45302</v>
      </c>
      <c r="E108" t="s">
        <v>21</v>
      </c>
      <c r="F108" t="s">
        <v>12</v>
      </c>
      <c r="H108">
        <v>113.33333333333333</v>
      </c>
    </row>
    <row r="109" spans="1:8" x14ac:dyDescent="0.25">
      <c r="A109" t="s">
        <v>76</v>
      </c>
      <c r="B109" t="s">
        <v>77</v>
      </c>
      <c r="C109" t="s">
        <v>15</v>
      </c>
      <c r="D109" s="1">
        <v>45302</v>
      </c>
      <c r="E109" t="s">
        <v>16</v>
      </c>
      <c r="F109" t="s">
        <v>17</v>
      </c>
      <c r="G109">
        <v>1</v>
      </c>
      <c r="H109">
        <v>176.46666666666667</v>
      </c>
    </row>
    <row r="110" spans="1:8" x14ac:dyDescent="0.25">
      <c r="A110" t="s">
        <v>76</v>
      </c>
      <c r="B110" t="s">
        <v>77</v>
      </c>
      <c r="C110" t="s">
        <v>7</v>
      </c>
      <c r="D110" t="s">
        <v>523</v>
      </c>
      <c r="E110" t="s">
        <v>283</v>
      </c>
      <c r="F110" t="s">
        <v>280</v>
      </c>
      <c r="H110">
        <v>-113.33333333333333</v>
      </c>
    </row>
    <row r="111" spans="1:8" x14ac:dyDescent="0.25">
      <c r="A111" t="s">
        <v>76</v>
      </c>
      <c r="B111" t="s">
        <v>77</v>
      </c>
      <c r="C111" t="s">
        <v>7</v>
      </c>
      <c r="D111" t="s">
        <v>523</v>
      </c>
      <c r="E111" t="s">
        <v>284</v>
      </c>
      <c r="F111" t="s">
        <v>227</v>
      </c>
      <c r="H111">
        <v>-80</v>
      </c>
    </row>
    <row r="112" spans="1:8" x14ac:dyDescent="0.25">
      <c r="A112" t="s">
        <v>76</v>
      </c>
      <c r="B112" t="s">
        <v>77</v>
      </c>
      <c r="C112" t="s">
        <v>15</v>
      </c>
      <c r="D112" t="s">
        <v>523</v>
      </c>
      <c r="E112" t="s">
        <v>22</v>
      </c>
      <c r="F112" t="s">
        <v>23</v>
      </c>
      <c r="H112">
        <v>2996.7506666666668</v>
      </c>
    </row>
    <row r="113" spans="1:8" x14ac:dyDescent="0.25">
      <c r="A113" t="s">
        <v>76</v>
      </c>
      <c r="B113" t="s">
        <v>77</v>
      </c>
      <c r="C113" t="s">
        <v>7</v>
      </c>
      <c r="D113" t="s">
        <v>524</v>
      </c>
      <c r="E113" t="s">
        <v>285</v>
      </c>
      <c r="F113" t="s">
        <v>8</v>
      </c>
      <c r="H113">
        <v>-1.35</v>
      </c>
    </row>
    <row r="114" spans="1:8" x14ac:dyDescent="0.25">
      <c r="A114" t="s">
        <v>76</v>
      </c>
      <c r="B114" t="s">
        <v>77</v>
      </c>
      <c r="C114" t="s">
        <v>7</v>
      </c>
      <c r="D114" t="s">
        <v>524</v>
      </c>
      <c r="E114" t="s">
        <v>286</v>
      </c>
      <c r="F114" t="s">
        <v>8</v>
      </c>
      <c r="H114">
        <v>-41.410666666666664</v>
      </c>
    </row>
    <row r="115" spans="1:8" x14ac:dyDescent="0.25">
      <c r="A115" t="s">
        <v>76</v>
      </c>
      <c r="B115" t="s">
        <v>77</v>
      </c>
      <c r="C115" t="s">
        <v>7</v>
      </c>
      <c r="D115" t="s">
        <v>525</v>
      </c>
      <c r="E115" t="s">
        <v>287</v>
      </c>
      <c r="F115" t="s">
        <v>9</v>
      </c>
      <c r="H115">
        <v>-90.762</v>
      </c>
    </row>
    <row r="116" spans="1:8" x14ac:dyDescent="0.25">
      <c r="A116" t="s">
        <v>76</v>
      </c>
      <c r="B116" t="s">
        <v>77</v>
      </c>
      <c r="C116" t="s">
        <v>7</v>
      </c>
      <c r="D116" t="s">
        <v>526</v>
      </c>
      <c r="E116" t="s">
        <v>288</v>
      </c>
      <c r="F116" t="s">
        <v>8</v>
      </c>
      <c r="H116">
        <v>-33.333333333333336</v>
      </c>
    </row>
    <row r="117" spans="1:8" x14ac:dyDescent="0.25">
      <c r="A117" t="s">
        <v>76</v>
      </c>
      <c r="B117" t="s">
        <v>77</v>
      </c>
      <c r="C117" t="s">
        <v>13</v>
      </c>
      <c r="D117" t="s">
        <v>527</v>
      </c>
      <c r="E117" t="s">
        <v>289</v>
      </c>
      <c r="F117" t="s">
        <v>14</v>
      </c>
      <c r="G117">
        <v>998</v>
      </c>
      <c r="H117">
        <v>-9.3333333333333339</v>
      </c>
    </row>
    <row r="118" spans="1:8" x14ac:dyDescent="0.25">
      <c r="A118" t="s">
        <v>76</v>
      </c>
      <c r="B118" t="s">
        <v>77</v>
      </c>
      <c r="C118" t="s">
        <v>13</v>
      </c>
      <c r="D118" t="s">
        <v>527</v>
      </c>
      <c r="E118" t="s">
        <v>290</v>
      </c>
      <c r="F118" t="s">
        <v>14</v>
      </c>
      <c r="G118">
        <v>707</v>
      </c>
      <c r="H118">
        <v>-9.3333333333333339</v>
      </c>
    </row>
    <row r="119" spans="1:8" x14ac:dyDescent="0.25">
      <c r="A119" t="s">
        <v>76</v>
      </c>
      <c r="B119" t="s">
        <v>77</v>
      </c>
      <c r="C119" t="s">
        <v>13</v>
      </c>
      <c r="D119" t="s">
        <v>527</v>
      </c>
      <c r="E119" t="s">
        <v>291</v>
      </c>
      <c r="F119" t="s">
        <v>14</v>
      </c>
      <c r="G119">
        <v>997</v>
      </c>
      <c r="H119">
        <v>-9.3333333333333339</v>
      </c>
    </row>
    <row r="120" spans="1:8" x14ac:dyDescent="0.25">
      <c r="A120" t="s">
        <v>76</v>
      </c>
      <c r="B120" t="s">
        <v>77</v>
      </c>
      <c r="C120" t="s">
        <v>13</v>
      </c>
      <c r="D120" t="s">
        <v>527</v>
      </c>
      <c r="E120" t="s">
        <v>292</v>
      </c>
      <c r="F120" t="s">
        <v>14</v>
      </c>
      <c r="G120">
        <v>705</v>
      </c>
      <c r="H120">
        <v>-9.3333333333333339</v>
      </c>
    </row>
    <row r="121" spans="1:8" x14ac:dyDescent="0.25">
      <c r="A121" t="s">
        <v>76</v>
      </c>
      <c r="B121" t="s">
        <v>77</v>
      </c>
      <c r="C121" t="s">
        <v>7</v>
      </c>
      <c r="D121" t="s">
        <v>527</v>
      </c>
      <c r="E121" t="s">
        <v>293</v>
      </c>
      <c r="F121" t="s">
        <v>199</v>
      </c>
      <c r="H121">
        <v>-106.66666666666667</v>
      </c>
    </row>
    <row r="122" spans="1:8" x14ac:dyDescent="0.25">
      <c r="A122" t="s">
        <v>76</v>
      </c>
      <c r="B122" t="s">
        <v>77</v>
      </c>
      <c r="C122" t="s">
        <v>7</v>
      </c>
      <c r="D122" t="s">
        <v>527</v>
      </c>
      <c r="E122" t="s">
        <v>294</v>
      </c>
      <c r="F122" t="s">
        <v>8</v>
      </c>
      <c r="H122">
        <v>-1.35</v>
      </c>
    </row>
    <row r="123" spans="1:8" x14ac:dyDescent="0.25">
      <c r="A123" t="s">
        <v>76</v>
      </c>
      <c r="B123" t="s">
        <v>77</v>
      </c>
      <c r="C123" t="s">
        <v>7</v>
      </c>
      <c r="D123" t="s">
        <v>527</v>
      </c>
      <c r="E123" t="s">
        <v>295</v>
      </c>
      <c r="F123" t="s">
        <v>8</v>
      </c>
      <c r="H123">
        <v>-25.402666666666669</v>
      </c>
    </row>
    <row r="124" spans="1:8" x14ac:dyDescent="0.25">
      <c r="A124" t="s">
        <v>76</v>
      </c>
      <c r="B124" t="s">
        <v>77</v>
      </c>
      <c r="C124" t="s">
        <v>15</v>
      </c>
      <c r="D124" t="s">
        <v>528</v>
      </c>
      <c r="E124" t="s">
        <v>16</v>
      </c>
      <c r="F124" t="s">
        <v>17</v>
      </c>
      <c r="G124">
        <v>1</v>
      </c>
      <c r="H124">
        <v>151.80000000000001</v>
      </c>
    </row>
    <row r="125" spans="1:8" x14ac:dyDescent="0.25">
      <c r="A125" t="s">
        <v>76</v>
      </c>
      <c r="B125" t="s">
        <v>77</v>
      </c>
      <c r="C125" t="s">
        <v>7</v>
      </c>
      <c r="D125" t="s">
        <v>529</v>
      </c>
      <c r="E125" t="s">
        <v>296</v>
      </c>
      <c r="F125" t="s">
        <v>227</v>
      </c>
      <c r="H125">
        <v>-133.33333333333334</v>
      </c>
    </row>
    <row r="126" spans="1:8" x14ac:dyDescent="0.25">
      <c r="A126" t="s">
        <v>76</v>
      </c>
      <c r="B126" t="s">
        <v>77</v>
      </c>
      <c r="C126" t="s">
        <v>7</v>
      </c>
      <c r="D126" t="s">
        <v>529</v>
      </c>
      <c r="E126" t="s">
        <v>297</v>
      </c>
      <c r="F126" t="s">
        <v>196</v>
      </c>
      <c r="H126">
        <v>-41.525999999999996</v>
      </c>
    </row>
    <row r="127" spans="1:8" x14ac:dyDescent="0.25">
      <c r="A127" t="s">
        <v>76</v>
      </c>
      <c r="B127" t="s">
        <v>77</v>
      </c>
      <c r="C127" t="s">
        <v>7</v>
      </c>
      <c r="D127" t="s">
        <v>529</v>
      </c>
      <c r="E127" t="s">
        <v>298</v>
      </c>
      <c r="F127" t="s">
        <v>196</v>
      </c>
      <c r="H127">
        <v>-43.627333333333333</v>
      </c>
    </row>
    <row r="128" spans="1:8" x14ac:dyDescent="0.25">
      <c r="A128" t="s">
        <v>76</v>
      </c>
      <c r="B128" t="s">
        <v>77</v>
      </c>
      <c r="C128" t="s">
        <v>7</v>
      </c>
      <c r="D128" t="s">
        <v>529</v>
      </c>
      <c r="E128" t="s">
        <v>299</v>
      </c>
      <c r="F128" t="s">
        <v>196</v>
      </c>
      <c r="H128">
        <v>-14.951333333333334</v>
      </c>
    </row>
    <row r="129" spans="1:8" x14ac:dyDescent="0.25">
      <c r="A129" t="s">
        <v>76</v>
      </c>
      <c r="B129" t="s">
        <v>77</v>
      </c>
      <c r="C129" t="s">
        <v>7</v>
      </c>
      <c r="D129" t="s">
        <v>530</v>
      </c>
      <c r="E129" t="s">
        <v>300</v>
      </c>
      <c r="F129" t="s">
        <v>8</v>
      </c>
      <c r="H129">
        <v>-33.333333333333336</v>
      </c>
    </row>
    <row r="130" spans="1:8" x14ac:dyDescent="0.25">
      <c r="A130" t="s">
        <v>76</v>
      </c>
      <c r="B130" t="s">
        <v>77</v>
      </c>
      <c r="C130" t="s">
        <v>13</v>
      </c>
      <c r="D130" t="s">
        <v>530</v>
      </c>
      <c r="E130" t="s">
        <v>24</v>
      </c>
      <c r="F130" t="s">
        <v>14</v>
      </c>
      <c r="G130">
        <v>704</v>
      </c>
      <c r="H130">
        <v>-272.57266666666669</v>
      </c>
    </row>
    <row r="131" spans="1:8" x14ac:dyDescent="0.25">
      <c r="A131" t="s">
        <v>76</v>
      </c>
      <c r="B131" t="s">
        <v>77</v>
      </c>
      <c r="C131" t="s">
        <v>7</v>
      </c>
      <c r="D131" t="s">
        <v>530</v>
      </c>
      <c r="E131" t="s">
        <v>301</v>
      </c>
      <c r="F131" t="s">
        <v>9</v>
      </c>
      <c r="H131">
        <v>-90.762</v>
      </c>
    </row>
    <row r="132" spans="1:8" x14ac:dyDescent="0.25">
      <c r="A132" t="s">
        <v>76</v>
      </c>
      <c r="B132" t="s">
        <v>77</v>
      </c>
      <c r="C132" t="s">
        <v>7</v>
      </c>
      <c r="D132" t="s">
        <v>530</v>
      </c>
      <c r="E132" t="s">
        <v>302</v>
      </c>
      <c r="F132" t="s">
        <v>280</v>
      </c>
      <c r="H132">
        <v>-40</v>
      </c>
    </row>
    <row r="133" spans="1:8" x14ac:dyDescent="0.25">
      <c r="A133" t="s">
        <v>76</v>
      </c>
      <c r="B133" t="s">
        <v>77</v>
      </c>
      <c r="C133" t="s">
        <v>7</v>
      </c>
      <c r="D133" t="s">
        <v>530</v>
      </c>
      <c r="E133" t="s">
        <v>303</v>
      </c>
      <c r="F133" t="s">
        <v>9</v>
      </c>
      <c r="H133">
        <v>-80</v>
      </c>
    </row>
    <row r="134" spans="1:8" x14ac:dyDescent="0.25">
      <c r="A134" t="s">
        <v>76</v>
      </c>
      <c r="B134" t="s">
        <v>77</v>
      </c>
      <c r="C134" t="s">
        <v>7</v>
      </c>
      <c r="D134" t="s">
        <v>530</v>
      </c>
      <c r="E134" t="s">
        <v>304</v>
      </c>
      <c r="F134" t="s">
        <v>242</v>
      </c>
      <c r="H134">
        <v>-122.12466666666666</v>
      </c>
    </row>
    <row r="135" spans="1:8" x14ac:dyDescent="0.25">
      <c r="A135" t="s">
        <v>76</v>
      </c>
      <c r="B135" t="s">
        <v>77</v>
      </c>
      <c r="C135" t="s">
        <v>7</v>
      </c>
      <c r="D135" t="s">
        <v>530</v>
      </c>
      <c r="E135" t="s">
        <v>305</v>
      </c>
      <c r="F135" t="s">
        <v>280</v>
      </c>
      <c r="H135">
        <v>-23.333333333333332</v>
      </c>
    </row>
    <row r="136" spans="1:8" x14ac:dyDescent="0.25">
      <c r="A136" t="s">
        <v>76</v>
      </c>
      <c r="B136" t="s">
        <v>77</v>
      </c>
      <c r="C136" t="s">
        <v>7</v>
      </c>
      <c r="D136" t="s">
        <v>530</v>
      </c>
      <c r="E136" t="s">
        <v>306</v>
      </c>
      <c r="F136" t="s">
        <v>196</v>
      </c>
      <c r="H136">
        <v>-0.53266666666666673</v>
      </c>
    </row>
    <row r="137" spans="1:8" x14ac:dyDescent="0.25">
      <c r="A137" t="s">
        <v>76</v>
      </c>
      <c r="B137" t="s">
        <v>77</v>
      </c>
      <c r="C137" t="s">
        <v>15</v>
      </c>
      <c r="D137" t="s">
        <v>530</v>
      </c>
      <c r="E137" t="s">
        <v>16</v>
      </c>
      <c r="F137" t="s">
        <v>17</v>
      </c>
      <c r="G137">
        <v>1</v>
      </c>
      <c r="H137">
        <v>322.53333333333336</v>
      </c>
    </row>
    <row r="138" spans="1:8" x14ac:dyDescent="0.25">
      <c r="A138" t="s">
        <v>76</v>
      </c>
      <c r="B138" t="s">
        <v>77</v>
      </c>
      <c r="C138" t="s">
        <v>7</v>
      </c>
      <c r="D138" t="s">
        <v>531</v>
      </c>
      <c r="E138" t="s">
        <v>307</v>
      </c>
      <c r="F138" t="s">
        <v>227</v>
      </c>
      <c r="H138">
        <v>-133.33333333333334</v>
      </c>
    </row>
    <row r="139" spans="1:8" x14ac:dyDescent="0.25">
      <c r="A139" t="s">
        <v>76</v>
      </c>
      <c r="B139" t="s">
        <v>77</v>
      </c>
      <c r="C139" t="s">
        <v>7</v>
      </c>
      <c r="D139" t="s">
        <v>532</v>
      </c>
      <c r="E139" t="s">
        <v>308</v>
      </c>
      <c r="F139" t="s">
        <v>8</v>
      </c>
      <c r="H139">
        <v>-4.6833333333333336</v>
      </c>
    </row>
    <row r="140" spans="1:8" x14ac:dyDescent="0.25">
      <c r="A140" t="s">
        <v>76</v>
      </c>
      <c r="B140" t="s">
        <v>77</v>
      </c>
      <c r="C140" t="s">
        <v>7</v>
      </c>
      <c r="D140" t="s">
        <v>532</v>
      </c>
      <c r="E140" t="s">
        <v>309</v>
      </c>
      <c r="F140" t="s">
        <v>8</v>
      </c>
      <c r="H140">
        <v>-41.410666666666664</v>
      </c>
    </row>
    <row r="141" spans="1:8" x14ac:dyDescent="0.25">
      <c r="A141" t="s">
        <v>76</v>
      </c>
      <c r="B141" t="s">
        <v>77</v>
      </c>
      <c r="C141" t="s">
        <v>7</v>
      </c>
      <c r="D141" t="s">
        <v>532</v>
      </c>
      <c r="E141" t="s">
        <v>310</v>
      </c>
      <c r="F141" t="s">
        <v>196</v>
      </c>
      <c r="H141">
        <v>-90.728666666666669</v>
      </c>
    </row>
    <row r="142" spans="1:8" x14ac:dyDescent="0.25">
      <c r="A142" t="s">
        <v>76</v>
      </c>
      <c r="B142" t="s">
        <v>77</v>
      </c>
      <c r="C142" t="s">
        <v>7</v>
      </c>
      <c r="D142" t="s">
        <v>533</v>
      </c>
      <c r="E142" t="s">
        <v>311</v>
      </c>
      <c r="F142" t="s">
        <v>8</v>
      </c>
      <c r="H142">
        <v>-333.33333333333331</v>
      </c>
    </row>
    <row r="143" spans="1:8" x14ac:dyDescent="0.25">
      <c r="A143" t="s">
        <v>76</v>
      </c>
      <c r="B143" t="s">
        <v>77</v>
      </c>
      <c r="C143" t="s">
        <v>10</v>
      </c>
      <c r="D143" t="s">
        <v>533</v>
      </c>
      <c r="E143" t="s">
        <v>25</v>
      </c>
      <c r="F143" t="s">
        <v>26</v>
      </c>
      <c r="H143">
        <v>272.5</v>
      </c>
    </row>
    <row r="144" spans="1:8" x14ac:dyDescent="0.25">
      <c r="A144" t="s">
        <v>76</v>
      </c>
      <c r="B144" t="s">
        <v>77</v>
      </c>
      <c r="C144" t="s">
        <v>7</v>
      </c>
      <c r="D144" t="s">
        <v>534</v>
      </c>
      <c r="E144" t="s">
        <v>312</v>
      </c>
      <c r="F144" t="s">
        <v>8</v>
      </c>
      <c r="H144">
        <v>-3.3333333333333335</v>
      </c>
    </row>
    <row r="145" spans="1:8" x14ac:dyDescent="0.25">
      <c r="A145" t="s">
        <v>76</v>
      </c>
      <c r="B145" t="s">
        <v>77</v>
      </c>
      <c r="C145" t="s">
        <v>7</v>
      </c>
      <c r="D145" t="s">
        <v>534</v>
      </c>
      <c r="E145" t="s">
        <v>313</v>
      </c>
      <c r="F145" t="s">
        <v>199</v>
      </c>
      <c r="H145">
        <v>-26.666666666666668</v>
      </c>
    </row>
    <row r="146" spans="1:8" x14ac:dyDescent="0.25">
      <c r="A146" t="s">
        <v>76</v>
      </c>
      <c r="B146" t="s">
        <v>77</v>
      </c>
      <c r="C146" t="s">
        <v>7</v>
      </c>
      <c r="D146" t="s">
        <v>534</v>
      </c>
      <c r="E146" t="s">
        <v>314</v>
      </c>
      <c r="F146" t="s">
        <v>8</v>
      </c>
      <c r="H146">
        <v>-33.333333333333336</v>
      </c>
    </row>
    <row r="147" spans="1:8" x14ac:dyDescent="0.25">
      <c r="A147" t="s">
        <v>76</v>
      </c>
      <c r="B147" t="s">
        <v>77</v>
      </c>
      <c r="C147" t="s">
        <v>7</v>
      </c>
      <c r="D147" t="s">
        <v>534</v>
      </c>
      <c r="E147" t="s">
        <v>315</v>
      </c>
      <c r="F147" t="s">
        <v>199</v>
      </c>
      <c r="H147">
        <v>-66.666666666666671</v>
      </c>
    </row>
    <row r="148" spans="1:8" x14ac:dyDescent="0.25">
      <c r="A148" t="s">
        <v>76</v>
      </c>
      <c r="B148" t="s">
        <v>77</v>
      </c>
      <c r="C148" t="s">
        <v>7</v>
      </c>
      <c r="D148" t="s">
        <v>534</v>
      </c>
      <c r="E148" t="s">
        <v>316</v>
      </c>
      <c r="F148" t="s">
        <v>280</v>
      </c>
      <c r="H148">
        <v>-30</v>
      </c>
    </row>
    <row r="149" spans="1:8" x14ac:dyDescent="0.25">
      <c r="A149" t="s">
        <v>76</v>
      </c>
      <c r="B149" t="s">
        <v>77</v>
      </c>
      <c r="C149" t="s">
        <v>7</v>
      </c>
      <c r="D149" t="s">
        <v>534</v>
      </c>
      <c r="E149" t="s">
        <v>317</v>
      </c>
      <c r="F149" t="s">
        <v>280</v>
      </c>
      <c r="H149">
        <v>-35</v>
      </c>
    </row>
    <row r="150" spans="1:8" x14ac:dyDescent="0.25">
      <c r="A150" t="s">
        <v>76</v>
      </c>
      <c r="B150" t="s">
        <v>77</v>
      </c>
      <c r="C150" t="s">
        <v>10</v>
      </c>
      <c r="D150" t="s">
        <v>534</v>
      </c>
      <c r="E150" t="s">
        <v>27</v>
      </c>
      <c r="F150" t="s">
        <v>26</v>
      </c>
      <c r="H150">
        <v>63.333333333333336</v>
      </c>
    </row>
    <row r="151" spans="1:8" x14ac:dyDescent="0.25">
      <c r="A151" t="s">
        <v>76</v>
      </c>
      <c r="B151" t="s">
        <v>77</v>
      </c>
      <c r="C151" t="s">
        <v>10</v>
      </c>
      <c r="D151" t="s">
        <v>534</v>
      </c>
      <c r="E151" t="s">
        <v>28</v>
      </c>
      <c r="F151" t="s">
        <v>26</v>
      </c>
      <c r="H151">
        <v>333.33333333333331</v>
      </c>
    </row>
    <row r="152" spans="1:8" x14ac:dyDescent="0.25">
      <c r="A152" t="s">
        <v>76</v>
      </c>
      <c r="B152" t="s">
        <v>77</v>
      </c>
      <c r="C152" t="s">
        <v>10</v>
      </c>
      <c r="D152" t="s">
        <v>534</v>
      </c>
      <c r="E152" t="s">
        <v>29</v>
      </c>
      <c r="F152" t="s">
        <v>19</v>
      </c>
      <c r="H152">
        <v>106.13333333333334</v>
      </c>
    </row>
    <row r="153" spans="1:8" x14ac:dyDescent="0.25">
      <c r="A153" t="s">
        <v>76</v>
      </c>
      <c r="B153" t="s">
        <v>77</v>
      </c>
      <c r="C153" t="s">
        <v>10</v>
      </c>
      <c r="D153" t="s">
        <v>534</v>
      </c>
      <c r="E153" t="s">
        <v>29</v>
      </c>
      <c r="F153" t="s">
        <v>19</v>
      </c>
      <c r="H153">
        <v>1333.9666666666667</v>
      </c>
    </row>
    <row r="154" spans="1:8" x14ac:dyDescent="0.25">
      <c r="A154" t="s">
        <v>76</v>
      </c>
      <c r="B154" t="s">
        <v>77</v>
      </c>
      <c r="C154" t="s">
        <v>7</v>
      </c>
      <c r="D154" s="1">
        <v>45606</v>
      </c>
      <c r="E154" t="s">
        <v>318</v>
      </c>
      <c r="F154" t="s">
        <v>199</v>
      </c>
      <c r="H154">
        <v>-66.666666666666671</v>
      </c>
    </row>
    <row r="155" spans="1:8" x14ac:dyDescent="0.25">
      <c r="A155" t="s">
        <v>76</v>
      </c>
      <c r="B155" t="s">
        <v>77</v>
      </c>
      <c r="C155" t="s">
        <v>13</v>
      </c>
      <c r="D155" s="1">
        <v>45575</v>
      </c>
      <c r="E155" t="s">
        <v>319</v>
      </c>
      <c r="F155" t="s">
        <v>14</v>
      </c>
      <c r="G155">
        <v>703</v>
      </c>
      <c r="H155">
        <v>-80</v>
      </c>
    </row>
    <row r="156" spans="1:8" x14ac:dyDescent="0.25">
      <c r="A156" t="s">
        <v>76</v>
      </c>
      <c r="B156" t="s">
        <v>77</v>
      </c>
      <c r="C156" t="s">
        <v>7</v>
      </c>
      <c r="D156" s="1">
        <v>45575</v>
      </c>
      <c r="E156" t="s">
        <v>320</v>
      </c>
      <c r="F156" t="s">
        <v>199</v>
      </c>
      <c r="H156">
        <v>-66.666666666666671</v>
      </c>
    </row>
    <row r="157" spans="1:8" x14ac:dyDescent="0.25">
      <c r="A157" t="s">
        <v>76</v>
      </c>
      <c r="B157" t="s">
        <v>77</v>
      </c>
      <c r="C157" t="s">
        <v>13</v>
      </c>
      <c r="D157" s="1">
        <v>45575</v>
      </c>
      <c r="E157" t="s">
        <v>321</v>
      </c>
      <c r="F157" t="s">
        <v>14</v>
      </c>
      <c r="G157">
        <v>993</v>
      </c>
      <c r="H157">
        <v>-20.323333333333334</v>
      </c>
    </row>
    <row r="158" spans="1:8" x14ac:dyDescent="0.25">
      <c r="A158" t="s">
        <v>76</v>
      </c>
      <c r="B158" t="s">
        <v>77</v>
      </c>
      <c r="C158" t="s">
        <v>7</v>
      </c>
      <c r="D158" s="1">
        <v>45575</v>
      </c>
      <c r="E158" t="s">
        <v>322</v>
      </c>
      <c r="F158" t="s">
        <v>196</v>
      </c>
      <c r="H158">
        <v>-333.33333333333331</v>
      </c>
    </row>
    <row r="159" spans="1:8" x14ac:dyDescent="0.25">
      <c r="A159" t="s">
        <v>76</v>
      </c>
      <c r="B159" t="s">
        <v>77</v>
      </c>
      <c r="C159" t="s">
        <v>13</v>
      </c>
      <c r="D159" s="1">
        <v>45545</v>
      </c>
      <c r="E159" t="s">
        <v>323</v>
      </c>
      <c r="F159" t="s">
        <v>14</v>
      </c>
      <c r="G159">
        <v>999</v>
      </c>
      <c r="H159">
        <v>-353.33333333333331</v>
      </c>
    </row>
    <row r="160" spans="1:8" x14ac:dyDescent="0.25">
      <c r="A160" t="s">
        <v>76</v>
      </c>
      <c r="B160" t="s">
        <v>77</v>
      </c>
      <c r="C160" t="s">
        <v>7</v>
      </c>
      <c r="D160" s="1">
        <v>45545</v>
      </c>
      <c r="E160" t="s">
        <v>324</v>
      </c>
      <c r="F160" t="s">
        <v>208</v>
      </c>
      <c r="H160">
        <v>-190</v>
      </c>
    </row>
    <row r="161" spans="1:8" x14ac:dyDescent="0.25">
      <c r="A161" t="s">
        <v>76</v>
      </c>
      <c r="B161" t="s">
        <v>77</v>
      </c>
      <c r="C161" t="s">
        <v>7</v>
      </c>
      <c r="D161" s="1">
        <v>45545</v>
      </c>
      <c r="E161" t="s">
        <v>325</v>
      </c>
      <c r="F161" t="s">
        <v>196</v>
      </c>
      <c r="H161">
        <v>-0.19933333333333333</v>
      </c>
    </row>
    <row r="162" spans="1:8" x14ac:dyDescent="0.25">
      <c r="A162" t="s">
        <v>76</v>
      </c>
      <c r="B162" t="s">
        <v>77</v>
      </c>
      <c r="C162" t="s">
        <v>7</v>
      </c>
      <c r="D162" s="1">
        <v>45483</v>
      </c>
      <c r="E162" t="s">
        <v>326</v>
      </c>
      <c r="F162" t="s">
        <v>8</v>
      </c>
      <c r="H162">
        <v>-33.333333333333336</v>
      </c>
    </row>
    <row r="163" spans="1:8" x14ac:dyDescent="0.25">
      <c r="A163" t="s">
        <v>76</v>
      </c>
      <c r="B163" t="s">
        <v>77</v>
      </c>
      <c r="C163" t="s">
        <v>7</v>
      </c>
      <c r="D163" s="1">
        <v>45392</v>
      </c>
      <c r="E163" t="s">
        <v>327</v>
      </c>
      <c r="F163" t="s">
        <v>9</v>
      </c>
      <c r="H163">
        <v>-80</v>
      </c>
    </row>
    <row r="164" spans="1:8" x14ac:dyDescent="0.25">
      <c r="A164" t="s">
        <v>76</v>
      </c>
      <c r="B164" t="s">
        <v>77</v>
      </c>
      <c r="C164" t="s">
        <v>7</v>
      </c>
      <c r="D164" s="1">
        <v>45392</v>
      </c>
      <c r="E164" t="s">
        <v>328</v>
      </c>
      <c r="F164" t="s">
        <v>208</v>
      </c>
      <c r="H164">
        <v>-50</v>
      </c>
    </row>
    <row r="165" spans="1:8" x14ac:dyDescent="0.25">
      <c r="A165" t="s">
        <v>76</v>
      </c>
      <c r="B165" t="s">
        <v>77</v>
      </c>
      <c r="C165" t="s">
        <v>7</v>
      </c>
      <c r="D165" s="1">
        <v>45392</v>
      </c>
      <c r="E165" t="s">
        <v>329</v>
      </c>
      <c r="F165" t="s">
        <v>199</v>
      </c>
      <c r="H165">
        <v>-66.666666666666671</v>
      </c>
    </row>
    <row r="166" spans="1:8" x14ac:dyDescent="0.25">
      <c r="A166" t="s">
        <v>76</v>
      </c>
      <c r="B166" t="s">
        <v>77</v>
      </c>
      <c r="C166" t="s">
        <v>7</v>
      </c>
      <c r="D166" s="1">
        <v>45361</v>
      </c>
      <c r="E166" t="s">
        <v>330</v>
      </c>
      <c r="F166" t="s">
        <v>208</v>
      </c>
      <c r="H166">
        <v>-66.666666666666671</v>
      </c>
    </row>
    <row r="167" spans="1:8" x14ac:dyDescent="0.25">
      <c r="A167" t="s">
        <v>76</v>
      </c>
      <c r="B167" t="s">
        <v>77</v>
      </c>
      <c r="C167" t="s">
        <v>7</v>
      </c>
      <c r="D167" s="1">
        <v>45361</v>
      </c>
      <c r="E167" t="s">
        <v>331</v>
      </c>
      <c r="F167" t="s">
        <v>196</v>
      </c>
      <c r="H167">
        <v>-133.33333333333334</v>
      </c>
    </row>
    <row r="168" spans="1:8" x14ac:dyDescent="0.25">
      <c r="A168" t="s">
        <v>76</v>
      </c>
      <c r="B168" t="s">
        <v>77</v>
      </c>
      <c r="C168" t="s">
        <v>7</v>
      </c>
      <c r="D168" s="1">
        <v>45332</v>
      </c>
      <c r="E168" t="s">
        <v>332</v>
      </c>
      <c r="F168" t="s">
        <v>242</v>
      </c>
      <c r="H168">
        <v>-418.69333333333333</v>
      </c>
    </row>
    <row r="169" spans="1:8" x14ac:dyDescent="0.25">
      <c r="A169" t="s">
        <v>76</v>
      </c>
      <c r="B169" t="s">
        <v>77</v>
      </c>
      <c r="C169" t="s">
        <v>7</v>
      </c>
      <c r="D169" s="1">
        <v>45301</v>
      </c>
      <c r="E169" t="s">
        <v>333</v>
      </c>
      <c r="F169" t="s">
        <v>280</v>
      </c>
      <c r="H169">
        <v>-12</v>
      </c>
    </row>
    <row r="170" spans="1:8" x14ac:dyDescent="0.25">
      <c r="A170" t="s">
        <v>76</v>
      </c>
      <c r="B170" t="s">
        <v>77</v>
      </c>
      <c r="C170" t="s">
        <v>7</v>
      </c>
      <c r="D170" t="s">
        <v>535</v>
      </c>
      <c r="E170" t="s">
        <v>334</v>
      </c>
      <c r="F170" t="s">
        <v>220</v>
      </c>
      <c r="H170">
        <v>-1</v>
      </c>
    </row>
    <row r="171" spans="1:8" x14ac:dyDescent="0.25">
      <c r="A171" t="s">
        <v>76</v>
      </c>
      <c r="B171" t="s">
        <v>77</v>
      </c>
      <c r="C171" t="s">
        <v>13</v>
      </c>
      <c r="D171" t="s">
        <v>535</v>
      </c>
      <c r="E171" t="s">
        <v>335</v>
      </c>
      <c r="F171" t="s">
        <v>14</v>
      </c>
      <c r="G171">
        <v>991</v>
      </c>
      <c r="H171">
        <v>-9.3333333333333339</v>
      </c>
    </row>
    <row r="172" spans="1:8" x14ac:dyDescent="0.25">
      <c r="A172" t="s">
        <v>76</v>
      </c>
      <c r="B172" t="s">
        <v>77</v>
      </c>
      <c r="C172" t="s">
        <v>13</v>
      </c>
      <c r="D172" t="s">
        <v>535</v>
      </c>
      <c r="E172" t="s">
        <v>336</v>
      </c>
      <c r="F172" t="s">
        <v>14</v>
      </c>
      <c r="G172">
        <v>992</v>
      </c>
      <c r="H172">
        <v>-9.3333333333333339</v>
      </c>
    </row>
    <row r="173" spans="1:8" x14ac:dyDescent="0.25">
      <c r="A173" t="s">
        <v>76</v>
      </c>
      <c r="B173" t="s">
        <v>77</v>
      </c>
      <c r="C173" t="s">
        <v>13</v>
      </c>
      <c r="D173" t="s">
        <v>535</v>
      </c>
      <c r="E173" t="s">
        <v>337</v>
      </c>
      <c r="F173" t="s">
        <v>14</v>
      </c>
      <c r="G173">
        <v>994</v>
      </c>
      <c r="H173">
        <v>-9.3333333333333339</v>
      </c>
    </row>
    <row r="174" spans="1:8" x14ac:dyDescent="0.25">
      <c r="A174" t="s">
        <v>76</v>
      </c>
      <c r="B174" t="s">
        <v>77</v>
      </c>
      <c r="C174" t="s">
        <v>7</v>
      </c>
      <c r="D174" t="s">
        <v>535</v>
      </c>
      <c r="E174" t="s">
        <v>338</v>
      </c>
      <c r="F174" t="s">
        <v>8</v>
      </c>
      <c r="H174">
        <v>-33.333333333333336</v>
      </c>
    </row>
    <row r="175" spans="1:8" x14ac:dyDescent="0.25">
      <c r="A175" t="s">
        <v>76</v>
      </c>
      <c r="B175" t="s">
        <v>77</v>
      </c>
      <c r="C175" t="s">
        <v>7</v>
      </c>
      <c r="D175" t="s">
        <v>535</v>
      </c>
      <c r="E175" t="s">
        <v>339</v>
      </c>
      <c r="F175" t="s">
        <v>9</v>
      </c>
      <c r="H175">
        <v>-80</v>
      </c>
    </row>
    <row r="176" spans="1:8" x14ac:dyDescent="0.25">
      <c r="A176" t="s">
        <v>76</v>
      </c>
      <c r="B176" t="s">
        <v>77</v>
      </c>
      <c r="C176" t="s">
        <v>7</v>
      </c>
      <c r="D176" t="s">
        <v>535</v>
      </c>
      <c r="E176" t="s">
        <v>340</v>
      </c>
      <c r="F176" t="s">
        <v>280</v>
      </c>
      <c r="H176">
        <v>-2.9333333333333331</v>
      </c>
    </row>
    <row r="177" spans="1:8" x14ac:dyDescent="0.25">
      <c r="A177" t="s">
        <v>76</v>
      </c>
      <c r="B177" t="s">
        <v>77</v>
      </c>
      <c r="C177" t="s">
        <v>7</v>
      </c>
      <c r="D177" t="s">
        <v>535</v>
      </c>
      <c r="E177" t="s">
        <v>341</v>
      </c>
      <c r="F177" t="s">
        <v>196</v>
      </c>
      <c r="H177">
        <v>-41.360666666666667</v>
      </c>
    </row>
    <row r="178" spans="1:8" x14ac:dyDescent="0.25">
      <c r="A178" t="s">
        <v>76</v>
      </c>
      <c r="B178" t="s">
        <v>77</v>
      </c>
      <c r="C178" t="s">
        <v>10</v>
      </c>
      <c r="D178" t="s">
        <v>535</v>
      </c>
      <c r="E178" t="s">
        <v>30</v>
      </c>
      <c r="F178" t="s">
        <v>26</v>
      </c>
      <c r="H178">
        <v>195.83333333333334</v>
      </c>
    </row>
    <row r="179" spans="1:8" x14ac:dyDescent="0.25">
      <c r="A179" t="s">
        <v>76</v>
      </c>
      <c r="B179" t="s">
        <v>77</v>
      </c>
      <c r="C179" t="s">
        <v>7</v>
      </c>
      <c r="D179" t="s">
        <v>536</v>
      </c>
      <c r="E179" t="s">
        <v>342</v>
      </c>
      <c r="F179" t="s">
        <v>8</v>
      </c>
      <c r="H179">
        <v>-166.66666666666666</v>
      </c>
    </row>
    <row r="180" spans="1:8" x14ac:dyDescent="0.25">
      <c r="A180" t="s">
        <v>76</v>
      </c>
      <c r="B180" t="s">
        <v>77</v>
      </c>
      <c r="C180" t="s">
        <v>7</v>
      </c>
      <c r="D180" t="s">
        <v>536</v>
      </c>
      <c r="E180" t="s">
        <v>343</v>
      </c>
      <c r="F180" t="s">
        <v>242</v>
      </c>
      <c r="H180">
        <v>-166.66666666666666</v>
      </c>
    </row>
    <row r="181" spans="1:8" x14ac:dyDescent="0.25">
      <c r="A181" t="s">
        <v>76</v>
      </c>
      <c r="B181" t="s">
        <v>77</v>
      </c>
      <c r="C181" t="s">
        <v>7</v>
      </c>
      <c r="D181" t="s">
        <v>536</v>
      </c>
      <c r="E181" t="s">
        <v>344</v>
      </c>
      <c r="F181" t="s">
        <v>196</v>
      </c>
      <c r="H181">
        <v>-0.53266666666666673</v>
      </c>
    </row>
    <row r="182" spans="1:8" x14ac:dyDescent="0.25">
      <c r="A182" t="s">
        <v>76</v>
      </c>
      <c r="B182" t="s">
        <v>77</v>
      </c>
      <c r="C182" t="s">
        <v>10</v>
      </c>
      <c r="D182" t="s">
        <v>536</v>
      </c>
      <c r="E182" t="s">
        <v>31</v>
      </c>
      <c r="F182" t="s">
        <v>26</v>
      </c>
      <c r="H182">
        <v>137.5</v>
      </c>
    </row>
    <row r="183" spans="1:8" x14ac:dyDescent="0.25">
      <c r="A183" t="s">
        <v>76</v>
      </c>
      <c r="B183" t="s">
        <v>77</v>
      </c>
      <c r="C183" t="s">
        <v>10</v>
      </c>
      <c r="D183" t="s">
        <v>536</v>
      </c>
      <c r="E183" t="s">
        <v>32</v>
      </c>
      <c r="F183" t="s">
        <v>26</v>
      </c>
      <c r="H183">
        <v>195.83333333333334</v>
      </c>
    </row>
    <row r="184" spans="1:8" x14ac:dyDescent="0.25">
      <c r="A184" t="s">
        <v>76</v>
      </c>
      <c r="B184" t="s">
        <v>77</v>
      </c>
      <c r="C184" t="s">
        <v>13</v>
      </c>
      <c r="D184" t="s">
        <v>537</v>
      </c>
      <c r="E184" t="s">
        <v>345</v>
      </c>
      <c r="F184" t="s">
        <v>14</v>
      </c>
      <c r="G184">
        <v>996</v>
      </c>
      <c r="H184">
        <v>-80</v>
      </c>
    </row>
    <row r="185" spans="1:8" x14ac:dyDescent="0.25">
      <c r="A185" t="s">
        <v>76</v>
      </c>
      <c r="B185" t="s">
        <v>77</v>
      </c>
      <c r="C185" t="s">
        <v>13</v>
      </c>
      <c r="D185" t="s">
        <v>537</v>
      </c>
      <c r="E185" t="s">
        <v>346</v>
      </c>
      <c r="F185" t="s">
        <v>14</v>
      </c>
      <c r="G185">
        <v>995</v>
      </c>
      <c r="H185">
        <v>-80</v>
      </c>
    </row>
    <row r="186" spans="1:8" x14ac:dyDescent="0.25">
      <c r="A186" t="s">
        <v>76</v>
      </c>
      <c r="B186" t="s">
        <v>77</v>
      </c>
      <c r="C186" t="s">
        <v>15</v>
      </c>
      <c r="D186" t="s">
        <v>538</v>
      </c>
      <c r="E186" t="s">
        <v>16</v>
      </c>
      <c r="F186" t="s">
        <v>17</v>
      </c>
      <c r="G186">
        <v>1</v>
      </c>
      <c r="H186">
        <v>302.8</v>
      </c>
    </row>
    <row r="187" spans="1:8" x14ac:dyDescent="0.25">
      <c r="A187" t="s">
        <v>76</v>
      </c>
      <c r="B187" t="s">
        <v>77</v>
      </c>
      <c r="C187" t="s">
        <v>15</v>
      </c>
      <c r="D187" t="s">
        <v>538</v>
      </c>
      <c r="E187" t="s">
        <v>16</v>
      </c>
      <c r="F187" t="s">
        <v>17</v>
      </c>
      <c r="G187">
        <v>1</v>
      </c>
      <c r="H187">
        <v>2577.0846666666666</v>
      </c>
    </row>
    <row r="188" spans="1:8" x14ac:dyDescent="0.25">
      <c r="A188" t="s">
        <v>76</v>
      </c>
      <c r="B188" t="s">
        <v>77</v>
      </c>
      <c r="C188" t="s">
        <v>7</v>
      </c>
      <c r="D188" t="s">
        <v>539</v>
      </c>
      <c r="E188" t="s">
        <v>347</v>
      </c>
      <c r="F188" t="s">
        <v>220</v>
      </c>
      <c r="H188">
        <v>-2.2666666666666666</v>
      </c>
    </row>
    <row r="189" spans="1:8" x14ac:dyDescent="0.25">
      <c r="A189" t="s">
        <v>76</v>
      </c>
      <c r="B189" t="s">
        <v>77</v>
      </c>
      <c r="C189" t="s">
        <v>7</v>
      </c>
      <c r="D189" t="s">
        <v>539</v>
      </c>
      <c r="E189" t="s">
        <v>348</v>
      </c>
      <c r="F189" t="s">
        <v>8</v>
      </c>
      <c r="H189">
        <v>-43.627333333333333</v>
      </c>
    </row>
    <row r="190" spans="1:8" x14ac:dyDescent="0.25">
      <c r="A190" t="s">
        <v>76</v>
      </c>
      <c r="B190" t="s">
        <v>77</v>
      </c>
      <c r="C190" t="s">
        <v>7</v>
      </c>
      <c r="D190" t="s">
        <v>540</v>
      </c>
      <c r="E190" t="s">
        <v>349</v>
      </c>
      <c r="F190" t="s">
        <v>8</v>
      </c>
      <c r="H190">
        <v>-33.333333333333336</v>
      </c>
    </row>
    <row r="191" spans="1:8" x14ac:dyDescent="0.25">
      <c r="A191" t="s">
        <v>76</v>
      </c>
      <c r="B191" t="s">
        <v>77</v>
      </c>
      <c r="C191" t="s">
        <v>13</v>
      </c>
      <c r="D191" t="s">
        <v>541</v>
      </c>
      <c r="E191" t="s">
        <v>350</v>
      </c>
      <c r="F191" t="s">
        <v>14</v>
      </c>
      <c r="G191">
        <v>990</v>
      </c>
      <c r="H191">
        <v>-163.98599999999999</v>
      </c>
    </row>
    <row r="192" spans="1:8" x14ac:dyDescent="0.25">
      <c r="A192" t="s">
        <v>76</v>
      </c>
      <c r="B192" t="s">
        <v>77</v>
      </c>
      <c r="C192" t="s">
        <v>10</v>
      </c>
      <c r="D192" t="s">
        <v>541</v>
      </c>
      <c r="E192" t="s">
        <v>33</v>
      </c>
      <c r="F192" t="s">
        <v>9</v>
      </c>
      <c r="H192">
        <v>45.333333333333336</v>
      </c>
    </row>
    <row r="193" spans="1:8" x14ac:dyDescent="0.25">
      <c r="A193" t="s">
        <v>76</v>
      </c>
      <c r="B193" t="s">
        <v>77</v>
      </c>
      <c r="C193" t="s">
        <v>13</v>
      </c>
      <c r="D193" t="s">
        <v>542</v>
      </c>
      <c r="E193" t="s">
        <v>34</v>
      </c>
      <c r="F193" t="s">
        <v>14</v>
      </c>
      <c r="G193">
        <v>989</v>
      </c>
      <c r="H193">
        <v>-272.57266666666669</v>
      </c>
    </row>
    <row r="194" spans="1:8" x14ac:dyDescent="0.25">
      <c r="A194" t="s">
        <v>76</v>
      </c>
      <c r="B194" t="s">
        <v>77</v>
      </c>
      <c r="C194" t="s">
        <v>7</v>
      </c>
      <c r="D194" t="s">
        <v>543</v>
      </c>
      <c r="E194" t="s">
        <v>351</v>
      </c>
      <c r="F194" t="s">
        <v>8</v>
      </c>
      <c r="H194">
        <v>-33.333333333333336</v>
      </c>
    </row>
    <row r="195" spans="1:8" x14ac:dyDescent="0.25">
      <c r="A195" t="s">
        <v>76</v>
      </c>
      <c r="B195" t="s">
        <v>77</v>
      </c>
      <c r="C195" t="s">
        <v>13</v>
      </c>
      <c r="D195" t="s">
        <v>543</v>
      </c>
      <c r="E195" t="s">
        <v>352</v>
      </c>
      <c r="F195" t="s">
        <v>14</v>
      </c>
      <c r="G195">
        <v>986</v>
      </c>
      <c r="H195">
        <v>-420</v>
      </c>
    </row>
    <row r="196" spans="1:8" x14ac:dyDescent="0.25">
      <c r="A196" t="s">
        <v>76</v>
      </c>
      <c r="B196" t="s">
        <v>77</v>
      </c>
      <c r="C196" t="s">
        <v>13</v>
      </c>
      <c r="D196" t="s">
        <v>543</v>
      </c>
      <c r="E196" t="s">
        <v>353</v>
      </c>
      <c r="F196" t="s">
        <v>14</v>
      </c>
      <c r="G196">
        <v>987</v>
      </c>
      <c r="H196">
        <v>-191.38200000000001</v>
      </c>
    </row>
    <row r="197" spans="1:8" x14ac:dyDescent="0.25">
      <c r="A197" t="s">
        <v>76</v>
      </c>
      <c r="B197" t="s">
        <v>77</v>
      </c>
      <c r="C197" t="s">
        <v>7</v>
      </c>
      <c r="D197" t="s">
        <v>543</v>
      </c>
      <c r="E197" t="s">
        <v>354</v>
      </c>
      <c r="F197" t="s">
        <v>199</v>
      </c>
      <c r="H197">
        <v>-53.333333333333336</v>
      </c>
    </row>
    <row r="198" spans="1:8" x14ac:dyDescent="0.25">
      <c r="A198" t="s">
        <v>76</v>
      </c>
      <c r="B198" t="s">
        <v>77</v>
      </c>
      <c r="C198" t="s">
        <v>7</v>
      </c>
      <c r="D198" t="s">
        <v>543</v>
      </c>
      <c r="E198" t="s">
        <v>355</v>
      </c>
      <c r="F198" t="s">
        <v>208</v>
      </c>
      <c r="H198">
        <v>-66.666666666666671</v>
      </c>
    </row>
    <row r="199" spans="1:8" x14ac:dyDescent="0.25">
      <c r="A199" t="s">
        <v>76</v>
      </c>
      <c r="B199" t="s">
        <v>77</v>
      </c>
      <c r="C199" t="s">
        <v>7</v>
      </c>
      <c r="D199" t="s">
        <v>544</v>
      </c>
      <c r="E199" t="s">
        <v>356</v>
      </c>
      <c r="F199" t="s">
        <v>199</v>
      </c>
      <c r="H199">
        <v>-26.666666666666668</v>
      </c>
    </row>
    <row r="200" spans="1:8" x14ac:dyDescent="0.25">
      <c r="A200" t="s">
        <v>76</v>
      </c>
      <c r="B200" t="s">
        <v>77</v>
      </c>
      <c r="C200" t="s">
        <v>7</v>
      </c>
      <c r="D200" t="s">
        <v>544</v>
      </c>
      <c r="E200" t="s">
        <v>357</v>
      </c>
      <c r="F200" t="s">
        <v>208</v>
      </c>
      <c r="H200">
        <v>-66.666666666666671</v>
      </c>
    </row>
    <row r="201" spans="1:8" x14ac:dyDescent="0.25">
      <c r="A201" t="s">
        <v>76</v>
      </c>
      <c r="B201" t="s">
        <v>77</v>
      </c>
      <c r="C201" t="s">
        <v>7</v>
      </c>
      <c r="D201" s="1">
        <v>45635</v>
      </c>
      <c r="E201" t="s">
        <v>358</v>
      </c>
      <c r="F201" t="s">
        <v>208</v>
      </c>
      <c r="H201">
        <v>-66.666666666666671</v>
      </c>
    </row>
    <row r="202" spans="1:8" x14ac:dyDescent="0.25">
      <c r="A202" t="s">
        <v>76</v>
      </c>
      <c r="B202" t="s">
        <v>77</v>
      </c>
      <c r="C202" t="s">
        <v>7</v>
      </c>
      <c r="D202" s="1">
        <v>45605</v>
      </c>
      <c r="E202" t="s">
        <v>359</v>
      </c>
      <c r="F202" t="s">
        <v>208</v>
      </c>
      <c r="H202">
        <v>-66.666666666666671</v>
      </c>
    </row>
    <row r="203" spans="1:8" x14ac:dyDescent="0.25">
      <c r="A203" t="s">
        <v>76</v>
      </c>
      <c r="B203" t="s">
        <v>77</v>
      </c>
      <c r="C203" t="s">
        <v>7</v>
      </c>
      <c r="D203" s="1">
        <v>45605</v>
      </c>
      <c r="E203" t="s">
        <v>360</v>
      </c>
      <c r="F203" t="s">
        <v>199</v>
      </c>
      <c r="H203">
        <v>-66.666666666666671</v>
      </c>
    </row>
    <row r="204" spans="1:8" x14ac:dyDescent="0.25">
      <c r="A204" t="s">
        <v>76</v>
      </c>
      <c r="B204" t="s">
        <v>77</v>
      </c>
      <c r="C204" t="s">
        <v>7</v>
      </c>
      <c r="D204" s="1">
        <v>45605</v>
      </c>
      <c r="E204" t="s">
        <v>361</v>
      </c>
      <c r="F204" t="s">
        <v>8</v>
      </c>
      <c r="H204">
        <v>-63.333333333333336</v>
      </c>
    </row>
    <row r="205" spans="1:8" x14ac:dyDescent="0.25">
      <c r="A205" t="s">
        <v>76</v>
      </c>
      <c r="B205" t="s">
        <v>77</v>
      </c>
      <c r="C205" t="s">
        <v>7</v>
      </c>
      <c r="D205" s="1">
        <v>45574</v>
      </c>
      <c r="E205" t="s">
        <v>362</v>
      </c>
      <c r="F205" t="s">
        <v>8</v>
      </c>
      <c r="H205">
        <v>-125</v>
      </c>
    </row>
    <row r="206" spans="1:8" x14ac:dyDescent="0.25">
      <c r="A206" t="s">
        <v>76</v>
      </c>
      <c r="B206" t="s">
        <v>77</v>
      </c>
      <c r="C206" t="s">
        <v>7</v>
      </c>
      <c r="D206" s="1">
        <v>45544</v>
      </c>
      <c r="E206" t="s">
        <v>363</v>
      </c>
      <c r="F206" t="s">
        <v>199</v>
      </c>
      <c r="H206">
        <v>-26.666666666666668</v>
      </c>
    </row>
    <row r="207" spans="1:8" x14ac:dyDescent="0.25">
      <c r="A207" t="s">
        <v>76</v>
      </c>
      <c r="B207" t="s">
        <v>77</v>
      </c>
      <c r="C207" t="s">
        <v>10</v>
      </c>
      <c r="D207" s="1">
        <v>45544</v>
      </c>
      <c r="E207" t="s">
        <v>35</v>
      </c>
      <c r="F207" t="s">
        <v>19</v>
      </c>
      <c r="H207">
        <v>1037.3333333333333</v>
      </c>
    </row>
    <row r="208" spans="1:8" x14ac:dyDescent="0.25">
      <c r="A208" t="s">
        <v>76</v>
      </c>
      <c r="B208" t="s">
        <v>77</v>
      </c>
      <c r="C208" t="s">
        <v>7</v>
      </c>
      <c r="D208" s="1">
        <v>45421</v>
      </c>
      <c r="E208" t="s">
        <v>364</v>
      </c>
      <c r="F208" t="s">
        <v>208</v>
      </c>
      <c r="H208">
        <v>-166.66666666666666</v>
      </c>
    </row>
    <row r="209" spans="1:8" x14ac:dyDescent="0.25">
      <c r="A209" t="s">
        <v>76</v>
      </c>
      <c r="B209" t="s">
        <v>77</v>
      </c>
      <c r="C209" t="s">
        <v>7</v>
      </c>
      <c r="D209" s="1">
        <v>45391</v>
      </c>
      <c r="E209" t="s">
        <v>365</v>
      </c>
      <c r="F209" t="s">
        <v>8</v>
      </c>
      <c r="H209">
        <v>-3.3333333333333335</v>
      </c>
    </row>
    <row r="210" spans="1:8" x14ac:dyDescent="0.25">
      <c r="A210" t="s">
        <v>76</v>
      </c>
      <c r="B210" t="s">
        <v>77</v>
      </c>
      <c r="C210" t="s">
        <v>7</v>
      </c>
      <c r="D210" s="1">
        <v>45360</v>
      </c>
      <c r="E210" t="s">
        <v>366</v>
      </c>
      <c r="F210" t="s">
        <v>8</v>
      </c>
      <c r="H210">
        <v>-33.333333333333336</v>
      </c>
    </row>
    <row r="211" spans="1:8" x14ac:dyDescent="0.25">
      <c r="A211" t="s">
        <v>76</v>
      </c>
      <c r="B211" t="s">
        <v>77</v>
      </c>
      <c r="C211" t="s">
        <v>13</v>
      </c>
      <c r="D211" t="s">
        <v>545</v>
      </c>
      <c r="E211" t="s">
        <v>367</v>
      </c>
      <c r="F211" t="s">
        <v>14</v>
      </c>
      <c r="G211">
        <v>982</v>
      </c>
      <c r="H211">
        <v>-9.3333333333333339</v>
      </c>
    </row>
    <row r="212" spans="1:8" x14ac:dyDescent="0.25">
      <c r="A212" t="s">
        <v>76</v>
      </c>
      <c r="B212" t="s">
        <v>77</v>
      </c>
      <c r="C212" t="s">
        <v>13</v>
      </c>
      <c r="D212" t="s">
        <v>545</v>
      </c>
      <c r="E212" t="s">
        <v>368</v>
      </c>
      <c r="F212" t="s">
        <v>14</v>
      </c>
      <c r="G212">
        <v>702</v>
      </c>
      <c r="H212">
        <v>-9.3333333333333339</v>
      </c>
    </row>
    <row r="213" spans="1:8" x14ac:dyDescent="0.25">
      <c r="A213" t="s">
        <v>76</v>
      </c>
      <c r="B213" t="s">
        <v>77</v>
      </c>
      <c r="C213" t="s">
        <v>13</v>
      </c>
      <c r="D213" t="s">
        <v>545</v>
      </c>
      <c r="E213" t="s">
        <v>369</v>
      </c>
      <c r="F213" t="s">
        <v>14</v>
      </c>
      <c r="G213">
        <v>984</v>
      </c>
      <c r="H213">
        <v>-9.3333333333333339</v>
      </c>
    </row>
    <row r="214" spans="1:8" x14ac:dyDescent="0.25">
      <c r="A214" t="s">
        <v>76</v>
      </c>
      <c r="B214" t="s">
        <v>77</v>
      </c>
      <c r="C214" t="s">
        <v>13</v>
      </c>
      <c r="D214" t="s">
        <v>545</v>
      </c>
      <c r="E214" t="s">
        <v>370</v>
      </c>
      <c r="F214" t="s">
        <v>14</v>
      </c>
      <c r="G214">
        <v>988</v>
      </c>
      <c r="H214">
        <v>-9.3333333333333339</v>
      </c>
    </row>
    <row r="215" spans="1:8" x14ac:dyDescent="0.25">
      <c r="A215" t="s">
        <v>76</v>
      </c>
      <c r="B215" t="s">
        <v>77</v>
      </c>
      <c r="C215" t="s">
        <v>7</v>
      </c>
      <c r="D215" t="s">
        <v>546</v>
      </c>
      <c r="E215" t="s">
        <v>371</v>
      </c>
      <c r="F215" t="s">
        <v>9</v>
      </c>
      <c r="H215">
        <v>-66.666666666666671</v>
      </c>
    </row>
    <row r="216" spans="1:8" x14ac:dyDescent="0.25">
      <c r="A216" t="s">
        <v>76</v>
      </c>
      <c r="B216" t="s">
        <v>77</v>
      </c>
      <c r="C216" t="s">
        <v>7</v>
      </c>
      <c r="D216" t="s">
        <v>546</v>
      </c>
      <c r="E216" t="s">
        <v>372</v>
      </c>
      <c r="F216" t="s">
        <v>199</v>
      </c>
      <c r="H216">
        <v>-66.666666666666671</v>
      </c>
    </row>
    <row r="217" spans="1:8" x14ac:dyDescent="0.25">
      <c r="A217" t="s">
        <v>76</v>
      </c>
      <c r="B217" t="s">
        <v>77</v>
      </c>
      <c r="C217" t="s">
        <v>7</v>
      </c>
      <c r="D217" t="s">
        <v>546</v>
      </c>
      <c r="E217" t="s">
        <v>373</v>
      </c>
      <c r="F217" t="s">
        <v>9</v>
      </c>
      <c r="H217">
        <v>-100</v>
      </c>
    </row>
    <row r="218" spans="1:8" x14ac:dyDescent="0.25">
      <c r="A218" t="s">
        <v>76</v>
      </c>
      <c r="B218" t="s">
        <v>77</v>
      </c>
      <c r="C218" t="s">
        <v>7</v>
      </c>
      <c r="D218" t="s">
        <v>547</v>
      </c>
      <c r="E218" t="s">
        <v>374</v>
      </c>
      <c r="F218" t="s">
        <v>8</v>
      </c>
      <c r="H218">
        <v>-33.333333333333336</v>
      </c>
    </row>
    <row r="219" spans="1:8" x14ac:dyDescent="0.25">
      <c r="A219" t="s">
        <v>76</v>
      </c>
      <c r="B219" t="s">
        <v>77</v>
      </c>
      <c r="C219" t="s">
        <v>7</v>
      </c>
      <c r="D219" t="s">
        <v>547</v>
      </c>
      <c r="E219" t="s">
        <v>375</v>
      </c>
      <c r="F219" t="s">
        <v>199</v>
      </c>
      <c r="H219">
        <v>-60</v>
      </c>
    </row>
    <row r="220" spans="1:8" x14ac:dyDescent="0.25">
      <c r="A220" t="s">
        <v>76</v>
      </c>
      <c r="B220" t="s">
        <v>77</v>
      </c>
      <c r="C220" t="s">
        <v>7</v>
      </c>
      <c r="D220" t="s">
        <v>547</v>
      </c>
      <c r="E220" t="s">
        <v>376</v>
      </c>
      <c r="F220" t="s">
        <v>9</v>
      </c>
      <c r="H220">
        <v>-33.333333333333336</v>
      </c>
    </row>
    <row r="221" spans="1:8" x14ac:dyDescent="0.25">
      <c r="A221" t="s">
        <v>76</v>
      </c>
      <c r="B221" t="s">
        <v>77</v>
      </c>
      <c r="C221" t="s">
        <v>10</v>
      </c>
      <c r="D221" t="s">
        <v>547</v>
      </c>
      <c r="E221" t="s">
        <v>36</v>
      </c>
      <c r="F221" t="s">
        <v>26</v>
      </c>
      <c r="H221">
        <v>155.33333333333334</v>
      </c>
    </row>
    <row r="222" spans="1:8" x14ac:dyDescent="0.25">
      <c r="A222" t="s">
        <v>76</v>
      </c>
      <c r="B222" t="s">
        <v>77</v>
      </c>
      <c r="C222" t="s">
        <v>10</v>
      </c>
      <c r="D222" t="s">
        <v>547</v>
      </c>
      <c r="E222" t="s">
        <v>37</v>
      </c>
      <c r="F222" t="s">
        <v>19</v>
      </c>
      <c r="H222">
        <v>177.86666666666667</v>
      </c>
    </row>
    <row r="223" spans="1:8" x14ac:dyDescent="0.25">
      <c r="A223" t="s">
        <v>76</v>
      </c>
      <c r="B223" t="s">
        <v>77</v>
      </c>
      <c r="C223" t="s">
        <v>7</v>
      </c>
      <c r="D223" t="s">
        <v>548</v>
      </c>
      <c r="E223" t="s">
        <v>377</v>
      </c>
      <c r="F223" t="s">
        <v>199</v>
      </c>
      <c r="H223">
        <v>-26.666666666666668</v>
      </c>
    </row>
    <row r="224" spans="1:8" x14ac:dyDescent="0.25">
      <c r="A224" t="s">
        <v>76</v>
      </c>
      <c r="B224" t="s">
        <v>77</v>
      </c>
      <c r="C224" t="s">
        <v>13</v>
      </c>
      <c r="D224" t="s">
        <v>548</v>
      </c>
      <c r="E224" t="s">
        <v>38</v>
      </c>
      <c r="F224" t="s">
        <v>14</v>
      </c>
      <c r="G224">
        <v>983</v>
      </c>
      <c r="H224">
        <v>-272.57266666666669</v>
      </c>
    </row>
    <row r="225" spans="1:8" x14ac:dyDescent="0.25">
      <c r="A225" t="s">
        <v>76</v>
      </c>
      <c r="B225" t="s">
        <v>77</v>
      </c>
      <c r="C225" t="s">
        <v>7</v>
      </c>
      <c r="D225" t="s">
        <v>549</v>
      </c>
      <c r="E225" t="s">
        <v>378</v>
      </c>
      <c r="F225" t="s">
        <v>8</v>
      </c>
      <c r="H225">
        <v>-3.3333333333333335</v>
      </c>
    </row>
    <row r="226" spans="1:8" x14ac:dyDescent="0.25">
      <c r="A226" t="s">
        <v>76</v>
      </c>
      <c r="B226" t="s">
        <v>77</v>
      </c>
      <c r="C226" t="s">
        <v>7</v>
      </c>
      <c r="D226" t="s">
        <v>549</v>
      </c>
      <c r="E226" t="s">
        <v>379</v>
      </c>
      <c r="F226" t="s">
        <v>196</v>
      </c>
      <c r="H226">
        <v>-43.627333333333333</v>
      </c>
    </row>
    <row r="227" spans="1:8" x14ac:dyDescent="0.25">
      <c r="A227" t="s">
        <v>76</v>
      </c>
      <c r="B227" t="s">
        <v>77</v>
      </c>
      <c r="C227" t="s">
        <v>10</v>
      </c>
      <c r="D227" t="s">
        <v>549</v>
      </c>
      <c r="E227" t="s">
        <v>39</v>
      </c>
      <c r="F227" t="s">
        <v>26</v>
      </c>
      <c r="H227">
        <v>191.38200000000001</v>
      </c>
    </row>
    <row r="228" spans="1:8" x14ac:dyDescent="0.25">
      <c r="A228" t="s">
        <v>76</v>
      </c>
      <c r="B228" t="s">
        <v>77</v>
      </c>
      <c r="C228" t="s">
        <v>15</v>
      </c>
      <c r="D228" t="s">
        <v>549</v>
      </c>
      <c r="E228" t="s">
        <v>16</v>
      </c>
      <c r="F228" t="s">
        <v>17</v>
      </c>
      <c r="G228">
        <v>1</v>
      </c>
      <c r="H228">
        <v>339.8</v>
      </c>
    </row>
    <row r="229" spans="1:8" x14ac:dyDescent="0.25">
      <c r="A229" t="s">
        <v>76</v>
      </c>
      <c r="B229" t="s">
        <v>77</v>
      </c>
      <c r="C229" t="s">
        <v>7</v>
      </c>
      <c r="D229" t="s">
        <v>550</v>
      </c>
      <c r="E229" t="s">
        <v>380</v>
      </c>
      <c r="F229" t="s">
        <v>8</v>
      </c>
      <c r="H229">
        <v>-33.333333333333336</v>
      </c>
    </row>
    <row r="230" spans="1:8" x14ac:dyDescent="0.25">
      <c r="A230" t="s">
        <v>76</v>
      </c>
      <c r="B230" t="s">
        <v>77</v>
      </c>
      <c r="C230" t="s">
        <v>7</v>
      </c>
      <c r="D230" t="s">
        <v>550</v>
      </c>
      <c r="E230" t="s">
        <v>381</v>
      </c>
      <c r="F230" t="s">
        <v>9</v>
      </c>
      <c r="H230">
        <v>-100</v>
      </c>
    </row>
    <row r="231" spans="1:8" x14ac:dyDescent="0.25">
      <c r="A231" t="s">
        <v>76</v>
      </c>
      <c r="B231" t="s">
        <v>77</v>
      </c>
      <c r="C231" t="s">
        <v>10</v>
      </c>
      <c r="D231" t="s">
        <v>551</v>
      </c>
      <c r="E231" t="s">
        <v>40</v>
      </c>
      <c r="F231" t="s">
        <v>26</v>
      </c>
      <c r="H231">
        <v>333.33333333333331</v>
      </c>
    </row>
    <row r="232" spans="1:8" x14ac:dyDescent="0.25">
      <c r="A232" t="s">
        <v>76</v>
      </c>
      <c r="B232" t="s">
        <v>77</v>
      </c>
      <c r="C232" t="s">
        <v>10</v>
      </c>
      <c r="D232" t="s">
        <v>552</v>
      </c>
      <c r="E232" t="s">
        <v>41</v>
      </c>
      <c r="F232" t="s">
        <v>26</v>
      </c>
      <c r="H232">
        <v>333.33333333333331</v>
      </c>
    </row>
    <row r="233" spans="1:8" x14ac:dyDescent="0.25">
      <c r="A233" t="s">
        <v>76</v>
      </c>
      <c r="B233" t="s">
        <v>77</v>
      </c>
      <c r="C233" t="s">
        <v>7</v>
      </c>
      <c r="D233" s="1">
        <v>45634</v>
      </c>
      <c r="E233" t="s">
        <v>382</v>
      </c>
      <c r="F233" t="s">
        <v>199</v>
      </c>
      <c r="H233">
        <v>-26.666666666666668</v>
      </c>
    </row>
    <row r="234" spans="1:8" x14ac:dyDescent="0.25">
      <c r="A234" t="s">
        <v>76</v>
      </c>
      <c r="B234" t="s">
        <v>77</v>
      </c>
      <c r="C234" t="s">
        <v>7</v>
      </c>
      <c r="D234" s="1">
        <v>45634</v>
      </c>
      <c r="E234" t="s">
        <v>383</v>
      </c>
      <c r="F234" t="s">
        <v>8</v>
      </c>
      <c r="H234">
        <v>-33.333333333333336</v>
      </c>
    </row>
    <row r="235" spans="1:8" x14ac:dyDescent="0.25">
      <c r="A235" t="s">
        <v>76</v>
      </c>
      <c r="B235" t="s">
        <v>77</v>
      </c>
      <c r="C235" t="s">
        <v>7</v>
      </c>
      <c r="D235" s="1">
        <v>45634</v>
      </c>
      <c r="E235" t="s">
        <v>384</v>
      </c>
      <c r="F235" t="s">
        <v>8</v>
      </c>
      <c r="H235">
        <v>-3.3333333333333335</v>
      </c>
    </row>
    <row r="236" spans="1:8" x14ac:dyDescent="0.25">
      <c r="A236" t="s">
        <v>76</v>
      </c>
      <c r="B236" t="s">
        <v>77</v>
      </c>
      <c r="C236" t="s">
        <v>7</v>
      </c>
      <c r="D236" s="1">
        <v>45420</v>
      </c>
      <c r="E236" t="s">
        <v>385</v>
      </c>
      <c r="F236" t="s">
        <v>8</v>
      </c>
      <c r="H236">
        <v>-33.333333333333336</v>
      </c>
    </row>
    <row r="237" spans="1:8" x14ac:dyDescent="0.25">
      <c r="A237" t="s">
        <v>76</v>
      </c>
      <c r="B237" t="s">
        <v>77</v>
      </c>
      <c r="C237" t="s">
        <v>7</v>
      </c>
      <c r="D237" s="1">
        <v>45420</v>
      </c>
      <c r="E237" t="s">
        <v>386</v>
      </c>
      <c r="F237" t="s">
        <v>199</v>
      </c>
      <c r="H237">
        <v>-26.666666666666668</v>
      </c>
    </row>
    <row r="238" spans="1:8" x14ac:dyDescent="0.25">
      <c r="A238" t="s">
        <v>76</v>
      </c>
      <c r="B238" t="s">
        <v>77</v>
      </c>
      <c r="C238" t="s">
        <v>7</v>
      </c>
      <c r="D238" s="1">
        <v>45420</v>
      </c>
      <c r="E238" t="s">
        <v>387</v>
      </c>
      <c r="F238" t="s">
        <v>9</v>
      </c>
      <c r="H238">
        <v>-133.33333333333334</v>
      </c>
    </row>
    <row r="239" spans="1:8" x14ac:dyDescent="0.25">
      <c r="A239" t="s">
        <v>76</v>
      </c>
      <c r="B239" t="s">
        <v>77</v>
      </c>
      <c r="C239" t="s">
        <v>15</v>
      </c>
      <c r="D239" s="1">
        <v>45420</v>
      </c>
      <c r="E239" t="s">
        <v>16</v>
      </c>
      <c r="F239" t="s">
        <v>17</v>
      </c>
      <c r="G239">
        <v>1</v>
      </c>
      <c r="H239">
        <v>192.46666666666667</v>
      </c>
    </row>
    <row r="240" spans="1:8" x14ac:dyDescent="0.25">
      <c r="A240" t="s">
        <v>76</v>
      </c>
      <c r="B240" t="s">
        <v>77</v>
      </c>
      <c r="C240" t="s">
        <v>7</v>
      </c>
      <c r="D240" s="1">
        <v>45330</v>
      </c>
      <c r="E240" t="s">
        <v>388</v>
      </c>
      <c r="F240" t="s">
        <v>196</v>
      </c>
      <c r="H240">
        <v>-41.691333333333333</v>
      </c>
    </row>
    <row r="241" spans="1:8" x14ac:dyDescent="0.25">
      <c r="A241" t="s">
        <v>76</v>
      </c>
      <c r="B241" t="s">
        <v>77</v>
      </c>
      <c r="C241" t="s">
        <v>13</v>
      </c>
      <c r="D241" s="1">
        <v>45299</v>
      </c>
      <c r="E241" t="s">
        <v>389</v>
      </c>
      <c r="F241" t="s">
        <v>14</v>
      </c>
      <c r="G241">
        <v>980</v>
      </c>
      <c r="H241">
        <v>-9.3333333333333339</v>
      </c>
    </row>
    <row r="242" spans="1:8" x14ac:dyDescent="0.25">
      <c r="A242" t="s">
        <v>76</v>
      </c>
      <c r="B242" t="s">
        <v>77</v>
      </c>
      <c r="C242" t="s">
        <v>13</v>
      </c>
      <c r="D242" s="1">
        <v>45299</v>
      </c>
      <c r="E242" t="s">
        <v>390</v>
      </c>
      <c r="F242" t="s">
        <v>14</v>
      </c>
      <c r="G242">
        <v>979</v>
      </c>
      <c r="H242">
        <v>-9.3333333333333339</v>
      </c>
    </row>
    <row r="243" spans="1:8" x14ac:dyDescent="0.25">
      <c r="A243" t="s">
        <v>76</v>
      </c>
      <c r="B243" t="s">
        <v>77</v>
      </c>
      <c r="C243" t="s">
        <v>13</v>
      </c>
      <c r="D243" s="1">
        <v>45299</v>
      </c>
      <c r="E243" t="s">
        <v>391</v>
      </c>
      <c r="F243" t="s">
        <v>14</v>
      </c>
      <c r="G243">
        <v>975</v>
      </c>
      <c r="H243">
        <v>-9.3333333333333339</v>
      </c>
    </row>
    <row r="244" spans="1:8" x14ac:dyDescent="0.25">
      <c r="A244" t="s">
        <v>76</v>
      </c>
      <c r="B244" t="s">
        <v>77</v>
      </c>
      <c r="C244" t="s">
        <v>13</v>
      </c>
      <c r="D244" s="1">
        <v>45299</v>
      </c>
      <c r="E244" t="s">
        <v>392</v>
      </c>
      <c r="F244" t="s">
        <v>14</v>
      </c>
      <c r="G244">
        <v>981</v>
      </c>
      <c r="H244">
        <v>-9.3333333333333339</v>
      </c>
    </row>
    <row r="245" spans="1:8" x14ac:dyDescent="0.25">
      <c r="A245" t="s">
        <v>76</v>
      </c>
      <c r="B245" t="s">
        <v>77</v>
      </c>
      <c r="C245" t="s">
        <v>7</v>
      </c>
      <c r="D245" t="s">
        <v>553</v>
      </c>
      <c r="E245" t="s">
        <v>393</v>
      </c>
      <c r="F245" t="s">
        <v>199</v>
      </c>
      <c r="H245">
        <v>-33.333333333333336</v>
      </c>
    </row>
    <row r="246" spans="1:8" x14ac:dyDescent="0.25">
      <c r="A246" t="s">
        <v>76</v>
      </c>
      <c r="B246" t="s">
        <v>77</v>
      </c>
      <c r="C246" t="s">
        <v>7</v>
      </c>
      <c r="D246" t="s">
        <v>554</v>
      </c>
      <c r="E246" t="s">
        <v>394</v>
      </c>
      <c r="F246" t="s">
        <v>8</v>
      </c>
      <c r="H246">
        <v>-3.3333333333333335</v>
      </c>
    </row>
    <row r="247" spans="1:8" x14ac:dyDescent="0.25">
      <c r="A247" t="s">
        <v>76</v>
      </c>
      <c r="B247" t="s">
        <v>77</v>
      </c>
      <c r="C247" t="s">
        <v>7</v>
      </c>
      <c r="D247" t="s">
        <v>554</v>
      </c>
      <c r="E247" t="s">
        <v>395</v>
      </c>
      <c r="F247" t="s">
        <v>8</v>
      </c>
      <c r="H247">
        <v>-33.333333333333336</v>
      </c>
    </row>
    <row r="248" spans="1:8" x14ac:dyDescent="0.25">
      <c r="A248" t="s">
        <v>76</v>
      </c>
      <c r="B248" t="s">
        <v>77</v>
      </c>
      <c r="C248" t="s">
        <v>7</v>
      </c>
      <c r="D248" t="s">
        <v>555</v>
      </c>
      <c r="E248" t="s">
        <v>396</v>
      </c>
      <c r="F248" t="s">
        <v>199</v>
      </c>
      <c r="H248">
        <v>-66.666666666666671</v>
      </c>
    </row>
    <row r="249" spans="1:8" x14ac:dyDescent="0.25">
      <c r="A249" t="s">
        <v>76</v>
      </c>
      <c r="B249" t="s">
        <v>77</v>
      </c>
      <c r="C249" t="s">
        <v>13</v>
      </c>
      <c r="D249" t="s">
        <v>556</v>
      </c>
      <c r="E249" t="s">
        <v>42</v>
      </c>
      <c r="F249" t="s">
        <v>14</v>
      </c>
      <c r="G249">
        <v>978</v>
      </c>
      <c r="H249">
        <v>-272.57266666666669</v>
      </c>
    </row>
    <row r="250" spans="1:8" x14ac:dyDescent="0.25">
      <c r="A250" t="s">
        <v>76</v>
      </c>
      <c r="B250" t="s">
        <v>77</v>
      </c>
      <c r="C250" t="s">
        <v>7</v>
      </c>
      <c r="D250" t="s">
        <v>557</v>
      </c>
      <c r="E250" t="s">
        <v>397</v>
      </c>
      <c r="F250" t="s">
        <v>196</v>
      </c>
      <c r="H250">
        <v>-43.627333333333333</v>
      </c>
    </row>
    <row r="251" spans="1:8" x14ac:dyDescent="0.25">
      <c r="A251" t="s">
        <v>76</v>
      </c>
      <c r="B251" t="s">
        <v>77</v>
      </c>
      <c r="C251" t="s">
        <v>7</v>
      </c>
      <c r="D251" t="s">
        <v>558</v>
      </c>
      <c r="E251" t="s">
        <v>398</v>
      </c>
      <c r="F251" t="s">
        <v>8</v>
      </c>
      <c r="H251">
        <v>-33.333333333333336</v>
      </c>
    </row>
    <row r="252" spans="1:8" x14ac:dyDescent="0.25">
      <c r="A252" t="s">
        <v>76</v>
      </c>
      <c r="B252" t="s">
        <v>77</v>
      </c>
      <c r="C252" t="s">
        <v>7</v>
      </c>
      <c r="D252" t="s">
        <v>558</v>
      </c>
      <c r="E252" t="s">
        <v>399</v>
      </c>
      <c r="F252" t="s">
        <v>8</v>
      </c>
      <c r="H252">
        <v>-3.3333333333333335</v>
      </c>
    </row>
    <row r="253" spans="1:8" x14ac:dyDescent="0.25">
      <c r="A253" t="s">
        <v>76</v>
      </c>
      <c r="B253" t="s">
        <v>77</v>
      </c>
      <c r="C253" t="s">
        <v>10</v>
      </c>
      <c r="D253" t="s">
        <v>558</v>
      </c>
      <c r="E253" t="s">
        <v>43</v>
      </c>
      <c r="F253" t="s">
        <v>12</v>
      </c>
      <c r="H253">
        <v>10</v>
      </c>
    </row>
    <row r="254" spans="1:8" x14ac:dyDescent="0.25">
      <c r="A254" t="s">
        <v>76</v>
      </c>
      <c r="B254" t="s">
        <v>77</v>
      </c>
      <c r="C254" t="s">
        <v>7</v>
      </c>
      <c r="D254" t="s">
        <v>559</v>
      </c>
      <c r="E254" t="s">
        <v>400</v>
      </c>
      <c r="F254" t="s">
        <v>8</v>
      </c>
      <c r="H254">
        <v>-33.333333333333336</v>
      </c>
    </row>
    <row r="255" spans="1:8" x14ac:dyDescent="0.25">
      <c r="A255" t="s">
        <v>76</v>
      </c>
      <c r="B255" t="s">
        <v>77</v>
      </c>
      <c r="C255" t="s">
        <v>15</v>
      </c>
      <c r="D255" s="1">
        <v>45603</v>
      </c>
      <c r="E255" t="s">
        <v>16</v>
      </c>
      <c r="F255" t="s">
        <v>17</v>
      </c>
      <c r="G255">
        <v>1</v>
      </c>
      <c r="H255">
        <v>166.66666666666666</v>
      </c>
    </row>
    <row r="256" spans="1:8" x14ac:dyDescent="0.25">
      <c r="A256" t="s">
        <v>76</v>
      </c>
      <c r="B256" t="s">
        <v>77</v>
      </c>
      <c r="C256" t="s">
        <v>15</v>
      </c>
      <c r="D256" s="1">
        <v>45603</v>
      </c>
      <c r="E256" t="s">
        <v>16</v>
      </c>
      <c r="F256" t="s">
        <v>17</v>
      </c>
      <c r="G256">
        <v>1</v>
      </c>
      <c r="H256">
        <v>339.8</v>
      </c>
    </row>
    <row r="257" spans="1:8" x14ac:dyDescent="0.25">
      <c r="A257" t="s">
        <v>76</v>
      </c>
      <c r="B257" t="s">
        <v>77</v>
      </c>
      <c r="C257" t="s">
        <v>13</v>
      </c>
      <c r="D257" s="1">
        <v>45511</v>
      </c>
      <c r="E257" t="s">
        <v>401</v>
      </c>
      <c r="F257" t="s">
        <v>14</v>
      </c>
      <c r="G257">
        <v>972</v>
      </c>
      <c r="H257">
        <v>-9.3333333333333339</v>
      </c>
    </row>
    <row r="258" spans="1:8" x14ac:dyDescent="0.25">
      <c r="A258" t="s">
        <v>76</v>
      </c>
      <c r="B258" t="s">
        <v>77</v>
      </c>
      <c r="C258" t="s">
        <v>13</v>
      </c>
      <c r="D258" s="1">
        <v>45511</v>
      </c>
      <c r="E258" t="s">
        <v>402</v>
      </c>
      <c r="F258" t="s">
        <v>14</v>
      </c>
      <c r="G258">
        <v>969</v>
      </c>
      <c r="H258">
        <v>-9.3333333333333339</v>
      </c>
    </row>
    <row r="259" spans="1:8" x14ac:dyDescent="0.25">
      <c r="A259" t="s">
        <v>76</v>
      </c>
      <c r="B259" t="s">
        <v>77</v>
      </c>
      <c r="C259" t="s">
        <v>13</v>
      </c>
      <c r="D259" s="1">
        <v>45511</v>
      </c>
      <c r="E259" t="s">
        <v>403</v>
      </c>
      <c r="F259" t="s">
        <v>14</v>
      </c>
      <c r="G259">
        <v>974</v>
      </c>
      <c r="H259">
        <v>-9.3333333333333339</v>
      </c>
    </row>
    <row r="260" spans="1:8" x14ac:dyDescent="0.25">
      <c r="A260" t="s">
        <v>76</v>
      </c>
      <c r="B260" t="s">
        <v>77</v>
      </c>
      <c r="C260" t="s">
        <v>13</v>
      </c>
      <c r="D260" s="1">
        <v>45511</v>
      </c>
      <c r="E260" t="s">
        <v>404</v>
      </c>
      <c r="F260" t="s">
        <v>14</v>
      </c>
      <c r="G260">
        <v>970</v>
      </c>
      <c r="H260">
        <v>-9.3333333333333339</v>
      </c>
    </row>
    <row r="261" spans="1:8" x14ac:dyDescent="0.25">
      <c r="A261" t="s">
        <v>76</v>
      </c>
      <c r="B261" t="s">
        <v>77</v>
      </c>
      <c r="C261" t="s">
        <v>7</v>
      </c>
      <c r="D261" s="1">
        <v>45511</v>
      </c>
      <c r="E261" t="s">
        <v>405</v>
      </c>
      <c r="F261" t="s">
        <v>8</v>
      </c>
      <c r="H261">
        <v>-33.333333333333336</v>
      </c>
    </row>
    <row r="262" spans="1:8" x14ac:dyDescent="0.25">
      <c r="A262" t="s">
        <v>76</v>
      </c>
      <c r="B262" t="s">
        <v>77</v>
      </c>
      <c r="C262" t="s">
        <v>7</v>
      </c>
      <c r="D262" s="1">
        <v>45419</v>
      </c>
      <c r="E262" t="s">
        <v>406</v>
      </c>
      <c r="F262" t="s">
        <v>8</v>
      </c>
      <c r="H262">
        <v>-30.066666666666666</v>
      </c>
    </row>
    <row r="263" spans="1:8" x14ac:dyDescent="0.25">
      <c r="A263" t="s">
        <v>76</v>
      </c>
      <c r="B263" t="s">
        <v>77</v>
      </c>
      <c r="C263" t="s">
        <v>13</v>
      </c>
      <c r="D263" s="1">
        <v>45419</v>
      </c>
      <c r="E263" t="s">
        <v>407</v>
      </c>
      <c r="F263" t="s">
        <v>14</v>
      </c>
      <c r="G263">
        <v>973</v>
      </c>
      <c r="H263">
        <v>-293.86666666666667</v>
      </c>
    </row>
    <row r="264" spans="1:8" x14ac:dyDescent="0.25">
      <c r="A264" t="s">
        <v>76</v>
      </c>
      <c r="B264" t="s">
        <v>77</v>
      </c>
      <c r="C264" t="s">
        <v>7</v>
      </c>
      <c r="D264" s="1">
        <v>45358</v>
      </c>
      <c r="E264" t="s">
        <v>408</v>
      </c>
      <c r="F264" t="s">
        <v>8</v>
      </c>
      <c r="H264">
        <v>-3.3333333333333335</v>
      </c>
    </row>
    <row r="265" spans="1:8" x14ac:dyDescent="0.25">
      <c r="A265" t="s">
        <v>76</v>
      </c>
      <c r="B265" t="s">
        <v>77</v>
      </c>
      <c r="C265" t="s">
        <v>10</v>
      </c>
      <c r="D265" s="1">
        <v>45358</v>
      </c>
      <c r="E265" t="s">
        <v>44</v>
      </c>
      <c r="F265" t="s">
        <v>19</v>
      </c>
      <c r="H265">
        <v>588.86666666666667</v>
      </c>
    </row>
    <row r="266" spans="1:8" x14ac:dyDescent="0.25">
      <c r="A266" t="s">
        <v>76</v>
      </c>
      <c r="B266" t="s">
        <v>77</v>
      </c>
      <c r="C266" t="s">
        <v>7</v>
      </c>
      <c r="D266" s="1">
        <v>45298</v>
      </c>
      <c r="E266" t="s">
        <v>409</v>
      </c>
      <c r="F266" t="s">
        <v>8</v>
      </c>
      <c r="H266">
        <v>-33.333333333333336</v>
      </c>
    </row>
    <row r="267" spans="1:8" x14ac:dyDescent="0.25">
      <c r="A267" t="s">
        <v>76</v>
      </c>
      <c r="B267" t="s">
        <v>77</v>
      </c>
      <c r="C267" t="s">
        <v>7</v>
      </c>
      <c r="D267" t="s">
        <v>560</v>
      </c>
      <c r="E267" t="s">
        <v>334</v>
      </c>
      <c r="F267" t="s">
        <v>220</v>
      </c>
      <c r="H267">
        <v>-1</v>
      </c>
    </row>
    <row r="268" spans="1:8" x14ac:dyDescent="0.25">
      <c r="A268" t="s">
        <v>76</v>
      </c>
      <c r="B268" t="s">
        <v>77</v>
      </c>
      <c r="C268" t="s">
        <v>7</v>
      </c>
      <c r="D268" t="s">
        <v>561</v>
      </c>
      <c r="E268" t="s">
        <v>410</v>
      </c>
      <c r="F268" t="s">
        <v>8</v>
      </c>
      <c r="H268">
        <v>-33.333333333333336</v>
      </c>
    </row>
    <row r="269" spans="1:8" x14ac:dyDescent="0.25">
      <c r="A269" t="s">
        <v>76</v>
      </c>
      <c r="B269" t="s">
        <v>77</v>
      </c>
      <c r="C269" t="s">
        <v>13</v>
      </c>
      <c r="D269" t="s">
        <v>561</v>
      </c>
      <c r="E269" t="s">
        <v>45</v>
      </c>
      <c r="F269" t="s">
        <v>14</v>
      </c>
      <c r="G269">
        <v>971</v>
      </c>
      <c r="H269">
        <v>-272.57266666666669</v>
      </c>
    </row>
    <row r="270" spans="1:8" x14ac:dyDescent="0.25">
      <c r="A270" t="s">
        <v>76</v>
      </c>
      <c r="B270" t="s">
        <v>77</v>
      </c>
      <c r="C270" t="s">
        <v>7</v>
      </c>
      <c r="D270" t="s">
        <v>562</v>
      </c>
      <c r="E270" t="s">
        <v>411</v>
      </c>
      <c r="F270" t="s">
        <v>196</v>
      </c>
      <c r="H270">
        <v>-43.627333333333333</v>
      </c>
    </row>
    <row r="271" spans="1:8" x14ac:dyDescent="0.25">
      <c r="A271" t="s">
        <v>76</v>
      </c>
      <c r="B271" t="s">
        <v>77</v>
      </c>
      <c r="C271" t="s">
        <v>10</v>
      </c>
      <c r="D271" t="s">
        <v>563</v>
      </c>
      <c r="E271" t="s">
        <v>46</v>
      </c>
      <c r="F271" t="s">
        <v>26</v>
      </c>
      <c r="H271">
        <v>65.599999999999994</v>
      </c>
    </row>
    <row r="272" spans="1:8" x14ac:dyDescent="0.25">
      <c r="A272" t="s">
        <v>76</v>
      </c>
      <c r="B272" t="s">
        <v>77</v>
      </c>
      <c r="C272" t="s">
        <v>10</v>
      </c>
      <c r="D272" t="s">
        <v>563</v>
      </c>
      <c r="E272" t="s">
        <v>47</v>
      </c>
      <c r="F272" t="s">
        <v>26</v>
      </c>
      <c r="H272">
        <v>333.33333333333331</v>
      </c>
    </row>
    <row r="273" spans="1:8" x14ac:dyDescent="0.25">
      <c r="A273" t="s">
        <v>76</v>
      </c>
      <c r="B273" t="s">
        <v>77</v>
      </c>
      <c r="C273" t="s">
        <v>10</v>
      </c>
      <c r="D273" t="s">
        <v>564</v>
      </c>
      <c r="E273" t="s">
        <v>48</v>
      </c>
      <c r="F273" t="s">
        <v>26</v>
      </c>
      <c r="H273">
        <v>66.666666666666671</v>
      </c>
    </row>
    <row r="274" spans="1:8" x14ac:dyDescent="0.25">
      <c r="A274" t="s">
        <v>76</v>
      </c>
      <c r="B274" t="s">
        <v>77</v>
      </c>
      <c r="C274" t="s">
        <v>10</v>
      </c>
      <c r="D274" t="s">
        <v>565</v>
      </c>
      <c r="E274" t="s">
        <v>49</v>
      </c>
      <c r="F274" t="s">
        <v>9</v>
      </c>
      <c r="H274">
        <v>46.666666666666664</v>
      </c>
    </row>
    <row r="275" spans="1:8" x14ac:dyDescent="0.25">
      <c r="A275" t="s">
        <v>76</v>
      </c>
      <c r="B275" t="s">
        <v>77</v>
      </c>
      <c r="C275" t="s">
        <v>13</v>
      </c>
      <c r="D275" s="1">
        <v>45632</v>
      </c>
      <c r="E275" t="s">
        <v>412</v>
      </c>
      <c r="F275" t="s">
        <v>14</v>
      </c>
      <c r="G275">
        <v>967</v>
      </c>
      <c r="H275">
        <v>-253.33333333333334</v>
      </c>
    </row>
    <row r="276" spans="1:8" x14ac:dyDescent="0.25">
      <c r="A276" t="s">
        <v>76</v>
      </c>
      <c r="B276" t="s">
        <v>77</v>
      </c>
      <c r="C276" t="s">
        <v>10</v>
      </c>
      <c r="D276" s="1">
        <v>45632</v>
      </c>
      <c r="E276" t="s">
        <v>50</v>
      </c>
      <c r="F276" t="s">
        <v>9</v>
      </c>
      <c r="H276">
        <v>93.333333333333329</v>
      </c>
    </row>
    <row r="277" spans="1:8" x14ac:dyDescent="0.25">
      <c r="A277" t="s">
        <v>76</v>
      </c>
      <c r="B277" t="s">
        <v>77</v>
      </c>
      <c r="C277" t="s">
        <v>7</v>
      </c>
      <c r="D277" s="1">
        <v>45388</v>
      </c>
      <c r="E277" t="s">
        <v>413</v>
      </c>
      <c r="F277" t="s">
        <v>8</v>
      </c>
      <c r="H277">
        <v>-3.3333333333333335</v>
      </c>
    </row>
    <row r="278" spans="1:8" x14ac:dyDescent="0.25">
      <c r="A278" t="s">
        <v>76</v>
      </c>
      <c r="B278" t="s">
        <v>77</v>
      </c>
      <c r="C278" t="s">
        <v>7</v>
      </c>
      <c r="D278" t="s">
        <v>566</v>
      </c>
      <c r="E278" t="s">
        <v>414</v>
      </c>
      <c r="F278" t="s">
        <v>8</v>
      </c>
      <c r="H278">
        <v>-3.3333333333333335</v>
      </c>
    </row>
    <row r="279" spans="1:8" x14ac:dyDescent="0.25">
      <c r="A279" t="s">
        <v>76</v>
      </c>
      <c r="B279" t="s">
        <v>77</v>
      </c>
      <c r="C279" t="s">
        <v>13</v>
      </c>
      <c r="D279" t="s">
        <v>567</v>
      </c>
      <c r="E279" t="s">
        <v>415</v>
      </c>
      <c r="F279" t="s">
        <v>14</v>
      </c>
      <c r="G279">
        <v>968</v>
      </c>
      <c r="H279">
        <v>-9.3333333333333339</v>
      </c>
    </row>
    <row r="280" spans="1:8" x14ac:dyDescent="0.25">
      <c r="A280" t="s">
        <v>76</v>
      </c>
      <c r="B280" t="s">
        <v>77</v>
      </c>
      <c r="C280" t="s">
        <v>7</v>
      </c>
      <c r="D280" t="s">
        <v>568</v>
      </c>
      <c r="E280" t="s">
        <v>416</v>
      </c>
      <c r="F280" t="s">
        <v>8</v>
      </c>
      <c r="H280">
        <v>-13.333333333333334</v>
      </c>
    </row>
    <row r="281" spans="1:8" x14ac:dyDescent="0.25">
      <c r="A281" t="s">
        <v>76</v>
      </c>
      <c r="B281" t="s">
        <v>77</v>
      </c>
      <c r="C281" t="s">
        <v>10</v>
      </c>
      <c r="D281" t="s">
        <v>569</v>
      </c>
      <c r="E281" t="s">
        <v>51</v>
      </c>
      <c r="F281" t="s">
        <v>9</v>
      </c>
      <c r="H281">
        <v>33.333333333333336</v>
      </c>
    </row>
    <row r="282" spans="1:8" x14ac:dyDescent="0.25">
      <c r="A282" t="s">
        <v>76</v>
      </c>
      <c r="B282" t="s">
        <v>77</v>
      </c>
      <c r="C282" t="s">
        <v>7</v>
      </c>
      <c r="D282" t="s">
        <v>570</v>
      </c>
      <c r="E282" t="s">
        <v>417</v>
      </c>
      <c r="F282" t="s">
        <v>8</v>
      </c>
      <c r="H282">
        <v>-100</v>
      </c>
    </row>
    <row r="283" spans="1:8" x14ac:dyDescent="0.25">
      <c r="A283" t="s">
        <v>76</v>
      </c>
      <c r="B283" t="s">
        <v>77</v>
      </c>
      <c r="C283" t="s">
        <v>13</v>
      </c>
      <c r="D283" t="s">
        <v>570</v>
      </c>
      <c r="E283" t="s">
        <v>418</v>
      </c>
      <c r="F283" t="s">
        <v>14</v>
      </c>
      <c r="G283">
        <v>966</v>
      </c>
      <c r="H283">
        <v>-9.3333333333333339</v>
      </c>
    </row>
    <row r="284" spans="1:8" x14ac:dyDescent="0.25">
      <c r="A284" t="s">
        <v>76</v>
      </c>
      <c r="B284" t="s">
        <v>77</v>
      </c>
      <c r="C284" t="s">
        <v>7</v>
      </c>
      <c r="D284" t="s">
        <v>571</v>
      </c>
      <c r="E284" t="s">
        <v>419</v>
      </c>
      <c r="F284" t="s">
        <v>196</v>
      </c>
      <c r="H284">
        <v>-43.627333333333333</v>
      </c>
    </row>
    <row r="285" spans="1:8" x14ac:dyDescent="0.25">
      <c r="A285" t="s">
        <v>76</v>
      </c>
      <c r="B285" t="s">
        <v>77</v>
      </c>
      <c r="C285" t="s">
        <v>13</v>
      </c>
      <c r="D285" t="s">
        <v>572</v>
      </c>
      <c r="E285" t="s">
        <v>52</v>
      </c>
      <c r="F285" t="s">
        <v>14</v>
      </c>
      <c r="G285">
        <v>964</v>
      </c>
      <c r="H285">
        <v>-272.57266666666669</v>
      </c>
    </row>
    <row r="286" spans="1:8" x14ac:dyDescent="0.25">
      <c r="A286" t="s">
        <v>76</v>
      </c>
      <c r="B286" t="s">
        <v>77</v>
      </c>
      <c r="C286" t="s">
        <v>7</v>
      </c>
      <c r="D286" t="s">
        <v>573</v>
      </c>
      <c r="E286" t="s">
        <v>420</v>
      </c>
      <c r="F286" t="s">
        <v>8</v>
      </c>
      <c r="H286">
        <v>-3.3333333333333335</v>
      </c>
    </row>
    <row r="287" spans="1:8" x14ac:dyDescent="0.25">
      <c r="A287" t="s">
        <v>76</v>
      </c>
      <c r="B287" t="s">
        <v>77</v>
      </c>
      <c r="C287" t="s">
        <v>13</v>
      </c>
      <c r="D287" t="s">
        <v>573</v>
      </c>
      <c r="E287" t="s">
        <v>421</v>
      </c>
      <c r="F287" t="s">
        <v>14</v>
      </c>
      <c r="G287">
        <v>965</v>
      </c>
      <c r="H287">
        <v>-9.3333333333333339</v>
      </c>
    </row>
    <row r="288" spans="1:8" x14ac:dyDescent="0.25">
      <c r="A288" t="s">
        <v>76</v>
      </c>
      <c r="B288" t="s">
        <v>77</v>
      </c>
      <c r="C288" t="s">
        <v>13</v>
      </c>
      <c r="D288" t="s">
        <v>573</v>
      </c>
      <c r="E288" t="s">
        <v>422</v>
      </c>
      <c r="F288" t="s">
        <v>14</v>
      </c>
      <c r="G288">
        <v>963</v>
      </c>
      <c r="H288">
        <v>-9.3333333333333339</v>
      </c>
    </row>
    <row r="289" spans="1:8" x14ac:dyDescent="0.25">
      <c r="A289" t="s">
        <v>76</v>
      </c>
      <c r="B289" t="s">
        <v>77</v>
      </c>
      <c r="C289" t="s">
        <v>13</v>
      </c>
      <c r="D289" t="s">
        <v>573</v>
      </c>
      <c r="E289" t="s">
        <v>423</v>
      </c>
      <c r="F289" t="s">
        <v>14</v>
      </c>
      <c r="G289">
        <v>962</v>
      </c>
      <c r="H289">
        <v>-9.3333333333333339</v>
      </c>
    </row>
    <row r="290" spans="1:8" x14ac:dyDescent="0.25">
      <c r="A290" t="s">
        <v>76</v>
      </c>
      <c r="B290" t="s">
        <v>77</v>
      </c>
      <c r="C290" t="s">
        <v>15</v>
      </c>
      <c r="D290" t="s">
        <v>573</v>
      </c>
      <c r="E290" t="s">
        <v>16</v>
      </c>
      <c r="F290" t="s">
        <v>17</v>
      </c>
      <c r="G290">
        <v>1</v>
      </c>
      <c r="H290">
        <v>291.46666666666664</v>
      </c>
    </row>
    <row r="291" spans="1:8" x14ac:dyDescent="0.25">
      <c r="A291" t="s">
        <v>76</v>
      </c>
      <c r="B291" t="s">
        <v>77</v>
      </c>
      <c r="C291" t="s">
        <v>13</v>
      </c>
      <c r="D291" t="s">
        <v>574</v>
      </c>
      <c r="E291" t="s">
        <v>424</v>
      </c>
      <c r="F291" t="s">
        <v>14</v>
      </c>
      <c r="G291">
        <v>954</v>
      </c>
      <c r="H291">
        <v>-133.66666666666666</v>
      </c>
    </row>
    <row r="292" spans="1:8" x14ac:dyDescent="0.25">
      <c r="A292" t="s">
        <v>76</v>
      </c>
      <c r="B292" t="s">
        <v>77</v>
      </c>
      <c r="C292" t="s">
        <v>13</v>
      </c>
      <c r="D292" t="s">
        <v>574</v>
      </c>
      <c r="E292" t="s">
        <v>425</v>
      </c>
      <c r="F292" t="s">
        <v>14</v>
      </c>
      <c r="G292">
        <v>951</v>
      </c>
      <c r="H292">
        <v>-146.66666666666666</v>
      </c>
    </row>
    <row r="293" spans="1:8" x14ac:dyDescent="0.25">
      <c r="A293" t="s">
        <v>76</v>
      </c>
      <c r="B293" t="s">
        <v>77</v>
      </c>
      <c r="C293" t="s">
        <v>13</v>
      </c>
      <c r="D293" t="s">
        <v>575</v>
      </c>
      <c r="E293" t="s">
        <v>426</v>
      </c>
      <c r="F293" t="s">
        <v>14</v>
      </c>
      <c r="G293">
        <v>957</v>
      </c>
      <c r="H293">
        <v>-293.33333333333331</v>
      </c>
    </row>
    <row r="294" spans="1:8" x14ac:dyDescent="0.25">
      <c r="A294" t="s">
        <v>76</v>
      </c>
      <c r="B294" t="s">
        <v>77</v>
      </c>
      <c r="C294" t="s">
        <v>7</v>
      </c>
      <c r="D294" s="1">
        <v>45448</v>
      </c>
      <c r="E294" t="s">
        <v>427</v>
      </c>
      <c r="F294" t="s">
        <v>8</v>
      </c>
      <c r="H294">
        <v>-27.066666666666666</v>
      </c>
    </row>
    <row r="295" spans="1:8" x14ac:dyDescent="0.25">
      <c r="A295" t="s">
        <v>76</v>
      </c>
      <c r="B295" t="s">
        <v>77</v>
      </c>
      <c r="C295" t="s">
        <v>7</v>
      </c>
      <c r="D295" s="1">
        <v>45448</v>
      </c>
      <c r="E295" t="s">
        <v>428</v>
      </c>
      <c r="F295" t="s">
        <v>199</v>
      </c>
      <c r="H295">
        <v>-44</v>
      </c>
    </row>
    <row r="296" spans="1:8" x14ac:dyDescent="0.25">
      <c r="A296" t="s">
        <v>76</v>
      </c>
      <c r="B296" t="s">
        <v>77</v>
      </c>
      <c r="C296" t="s">
        <v>13</v>
      </c>
      <c r="D296" s="1">
        <v>45327</v>
      </c>
      <c r="E296" t="s">
        <v>429</v>
      </c>
      <c r="F296" t="s">
        <v>14</v>
      </c>
      <c r="G296">
        <v>961</v>
      </c>
      <c r="H296">
        <v>-9.3333333333333339</v>
      </c>
    </row>
    <row r="297" spans="1:8" x14ac:dyDescent="0.25">
      <c r="A297" t="s">
        <v>76</v>
      </c>
      <c r="B297" t="s">
        <v>77</v>
      </c>
      <c r="C297" t="s">
        <v>7</v>
      </c>
      <c r="D297" s="1">
        <v>45327</v>
      </c>
      <c r="E297" t="s">
        <v>430</v>
      </c>
      <c r="F297" t="s">
        <v>8</v>
      </c>
      <c r="H297">
        <v>-3.3333333333333335</v>
      </c>
    </row>
    <row r="298" spans="1:8" x14ac:dyDescent="0.25">
      <c r="A298" t="s">
        <v>76</v>
      </c>
      <c r="B298" t="s">
        <v>77</v>
      </c>
      <c r="C298" t="s">
        <v>15</v>
      </c>
      <c r="D298" t="s">
        <v>576</v>
      </c>
      <c r="E298" t="s">
        <v>16</v>
      </c>
      <c r="F298" t="s">
        <v>17</v>
      </c>
      <c r="G298">
        <v>1</v>
      </c>
      <c r="H298">
        <v>716.2</v>
      </c>
    </row>
    <row r="299" spans="1:8" x14ac:dyDescent="0.25">
      <c r="A299" t="s">
        <v>76</v>
      </c>
      <c r="B299" t="s">
        <v>77</v>
      </c>
      <c r="C299" t="s">
        <v>13</v>
      </c>
      <c r="D299" t="s">
        <v>577</v>
      </c>
      <c r="E299" t="s">
        <v>431</v>
      </c>
      <c r="F299" t="s">
        <v>14</v>
      </c>
      <c r="G299">
        <v>960</v>
      </c>
      <c r="H299">
        <v>-9.3333333333333339</v>
      </c>
    </row>
    <row r="300" spans="1:8" x14ac:dyDescent="0.25">
      <c r="A300" t="s">
        <v>76</v>
      </c>
      <c r="B300" t="s">
        <v>77</v>
      </c>
      <c r="C300" t="s">
        <v>13</v>
      </c>
      <c r="D300" t="s">
        <v>577</v>
      </c>
      <c r="E300" t="s">
        <v>432</v>
      </c>
      <c r="F300" t="s">
        <v>14</v>
      </c>
      <c r="G300">
        <v>959</v>
      </c>
      <c r="H300">
        <v>-9.3333333333333339</v>
      </c>
    </row>
    <row r="301" spans="1:8" x14ac:dyDescent="0.25">
      <c r="A301" t="s">
        <v>76</v>
      </c>
      <c r="B301" t="s">
        <v>77</v>
      </c>
      <c r="C301" t="s">
        <v>7</v>
      </c>
      <c r="D301" t="s">
        <v>578</v>
      </c>
      <c r="E301" t="s">
        <v>433</v>
      </c>
      <c r="F301" t="s">
        <v>196</v>
      </c>
      <c r="H301">
        <v>-89.435999999999993</v>
      </c>
    </row>
    <row r="302" spans="1:8" x14ac:dyDescent="0.25">
      <c r="A302" t="s">
        <v>76</v>
      </c>
      <c r="B302" t="s">
        <v>77</v>
      </c>
      <c r="C302" t="s">
        <v>13</v>
      </c>
      <c r="D302" t="s">
        <v>579</v>
      </c>
      <c r="E302" t="s">
        <v>434</v>
      </c>
      <c r="F302" t="s">
        <v>14</v>
      </c>
      <c r="G302">
        <v>787</v>
      </c>
      <c r="H302">
        <v>-58.429333333333339</v>
      </c>
    </row>
    <row r="303" spans="1:8" x14ac:dyDescent="0.25">
      <c r="A303" t="s">
        <v>76</v>
      </c>
      <c r="B303" t="s">
        <v>77</v>
      </c>
      <c r="C303" t="s">
        <v>10</v>
      </c>
      <c r="D303" t="s">
        <v>580</v>
      </c>
      <c r="E303" t="s">
        <v>53</v>
      </c>
      <c r="F303" t="s">
        <v>12</v>
      </c>
      <c r="H303">
        <v>9.3333333333333339</v>
      </c>
    </row>
    <row r="304" spans="1:8" x14ac:dyDescent="0.25">
      <c r="A304" t="s">
        <v>76</v>
      </c>
      <c r="B304" t="s">
        <v>77</v>
      </c>
      <c r="C304" t="s">
        <v>13</v>
      </c>
      <c r="D304" t="s">
        <v>581</v>
      </c>
      <c r="E304" t="s">
        <v>54</v>
      </c>
      <c r="F304" t="s">
        <v>14</v>
      </c>
      <c r="G304">
        <v>956</v>
      </c>
      <c r="H304">
        <v>-272.57266666666669</v>
      </c>
    </row>
    <row r="305" spans="1:8" x14ac:dyDescent="0.25">
      <c r="A305" t="s">
        <v>76</v>
      </c>
      <c r="B305" t="s">
        <v>77</v>
      </c>
      <c r="C305" t="s">
        <v>7</v>
      </c>
      <c r="D305" t="s">
        <v>581</v>
      </c>
      <c r="E305" t="s">
        <v>435</v>
      </c>
      <c r="F305" t="s">
        <v>199</v>
      </c>
      <c r="H305">
        <v>-45.333333333333336</v>
      </c>
    </row>
    <row r="306" spans="1:8" x14ac:dyDescent="0.25">
      <c r="A306" t="s">
        <v>76</v>
      </c>
      <c r="B306" t="s">
        <v>77</v>
      </c>
      <c r="C306" t="s">
        <v>13</v>
      </c>
      <c r="D306" s="1">
        <v>45600</v>
      </c>
      <c r="E306" t="s">
        <v>436</v>
      </c>
      <c r="F306" t="s">
        <v>14</v>
      </c>
      <c r="G306">
        <v>955</v>
      </c>
      <c r="H306">
        <v>-9.3333333333333339</v>
      </c>
    </row>
    <row r="307" spans="1:8" x14ac:dyDescent="0.25">
      <c r="A307" t="s">
        <v>76</v>
      </c>
      <c r="B307" t="s">
        <v>77</v>
      </c>
      <c r="C307" t="s">
        <v>13</v>
      </c>
      <c r="D307" s="1">
        <v>45600</v>
      </c>
      <c r="E307" t="s">
        <v>437</v>
      </c>
      <c r="F307" t="s">
        <v>14</v>
      </c>
      <c r="G307">
        <v>952</v>
      </c>
      <c r="H307">
        <v>-9.3333333333333339</v>
      </c>
    </row>
    <row r="308" spans="1:8" x14ac:dyDescent="0.25">
      <c r="A308" t="s">
        <v>76</v>
      </c>
      <c r="B308" t="s">
        <v>77</v>
      </c>
      <c r="C308" t="s">
        <v>13</v>
      </c>
      <c r="D308" s="1">
        <v>45600</v>
      </c>
      <c r="E308" t="s">
        <v>438</v>
      </c>
      <c r="F308" t="s">
        <v>14</v>
      </c>
      <c r="G308">
        <v>953</v>
      </c>
      <c r="H308">
        <v>-9.3333333333333339</v>
      </c>
    </row>
    <row r="309" spans="1:8" x14ac:dyDescent="0.25">
      <c r="A309" t="s">
        <v>76</v>
      </c>
      <c r="B309" t="s">
        <v>77</v>
      </c>
      <c r="C309" t="s">
        <v>7</v>
      </c>
      <c r="D309" s="1">
        <v>45569</v>
      </c>
      <c r="E309" t="s">
        <v>439</v>
      </c>
      <c r="F309" t="s">
        <v>199</v>
      </c>
      <c r="H309">
        <v>-26.666666666666668</v>
      </c>
    </row>
    <row r="310" spans="1:8" x14ac:dyDescent="0.25">
      <c r="A310" t="s">
        <v>76</v>
      </c>
      <c r="B310" t="s">
        <v>77</v>
      </c>
      <c r="C310" t="s">
        <v>7</v>
      </c>
      <c r="D310" s="1">
        <v>45539</v>
      </c>
      <c r="E310" t="s">
        <v>440</v>
      </c>
      <c r="F310" t="s">
        <v>199</v>
      </c>
      <c r="H310">
        <v>-36</v>
      </c>
    </row>
    <row r="311" spans="1:8" x14ac:dyDescent="0.25">
      <c r="A311" t="s">
        <v>76</v>
      </c>
      <c r="B311" t="s">
        <v>77</v>
      </c>
      <c r="C311" t="s">
        <v>7</v>
      </c>
      <c r="D311" s="1">
        <v>45539</v>
      </c>
      <c r="E311" t="s">
        <v>441</v>
      </c>
      <c r="F311" t="s">
        <v>242</v>
      </c>
      <c r="H311">
        <v>-100</v>
      </c>
    </row>
    <row r="312" spans="1:8" x14ac:dyDescent="0.25">
      <c r="A312" t="s">
        <v>76</v>
      </c>
      <c r="B312" t="s">
        <v>77</v>
      </c>
      <c r="C312" t="s">
        <v>7</v>
      </c>
      <c r="D312" s="1">
        <v>45508</v>
      </c>
      <c r="E312" t="s">
        <v>442</v>
      </c>
      <c r="F312" t="s">
        <v>8</v>
      </c>
      <c r="H312">
        <v>-53.333333333333336</v>
      </c>
    </row>
    <row r="313" spans="1:8" x14ac:dyDescent="0.25">
      <c r="A313" t="s">
        <v>76</v>
      </c>
      <c r="B313" t="s">
        <v>77</v>
      </c>
      <c r="C313" t="s">
        <v>10</v>
      </c>
      <c r="D313" s="1">
        <v>45508</v>
      </c>
      <c r="E313" t="s">
        <v>55</v>
      </c>
      <c r="F313" t="s">
        <v>12</v>
      </c>
      <c r="H313">
        <v>333.33333333333331</v>
      </c>
    </row>
    <row r="314" spans="1:8" x14ac:dyDescent="0.25">
      <c r="A314" t="s">
        <v>76</v>
      </c>
      <c r="B314" t="s">
        <v>77</v>
      </c>
      <c r="C314" t="s">
        <v>10</v>
      </c>
      <c r="D314" s="1">
        <v>45386</v>
      </c>
      <c r="E314" t="s">
        <v>56</v>
      </c>
      <c r="F314" t="s">
        <v>57</v>
      </c>
      <c r="H314">
        <v>2.2666666666666666</v>
      </c>
    </row>
    <row r="315" spans="1:8" x14ac:dyDescent="0.25">
      <c r="A315" t="s">
        <v>76</v>
      </c>
      <c r="B315" t="s">
        <v>77</v>
      </c>
      <c r="C315" t="s">
        <v>7</v>
      </c>
      <c r="D315" s="1">
        <v>45295</v>
      </c>
      <c r="E315" t="s">
        <v>443</v>
      </c>
      <c r="F315" t="s">
        <v>199</v>
      </c>
      <c r="H315">
        <v>-26.666666666666668</v>
      </c>
    </row>
    <row r="316" spans="1:8" x14ac:dyDescent="0.25">
      <c r="A316" t="s">
        <v>76</v>
      </c>
      <c r="B316" t="s">
        <v>77</v>
      </c>
      <c r="C316" t="s">
        <v>7</v>
      </c>
      <c r="D316" t="s">
        <v>582</v>
      </c>
      <c r="E316" t="s">
        <v>334</v>
      </c>
      <c r="F316" t="s">
        <v>220</v>
      </c>
      <c r="H316">
        <v>-1</v>
      </c>
    </row>
    <row r="317" spans="1:8" x14ac:dyDescent="0.25">
      <c r="A317" t="s">
        <v>76</v>
      </c>
      <c r="B317" t="s">
        <v>77</v>
      </c>
      <c r="C317" t="s">
        <v>7</v>
      </c>
      <c r="D317" t="s">
        <v>582</v>
      </c>
      <c r="E317" t="s">
        <v>444</v>
      </c>
      <c r="F317" t="s">
        <v>9</v>
      </c>
      <c r="H317">
        <v>-40</v>
      </c>
    </row>
    <row r="318" spans="1:8" x14ac:dyDescent="0.25">
      <c r="A318" t="s">
        <v>76</v>
      </c>
      <c r="B318" t="s">
        <v>77</v>
      </c>
      <c r="C318" t="s">
        <v>7</v>
      </c>
      <c r="D318" t="s">
        <v>582</v>
      </c>
      <c r="E318" t="s">
        <v>445</v>
      </c>
      <c r="F318" t="s">
        <v>208</v>
      </c>
      <c r="H318">
        <v>-100</v>
      </c>
    </row>
    <row r="319" spans="1:8" x14ac:dyDescent="0.25">
      <c r="A319" t="s">
        <v>76</v>
      </c>
      <c r="B319" t="s">
        <v>77</v>
      </c>
      <c r="C319" t="s">
        <v>15</v>
      </c>
      <c r="D319" t="s">
        <v>582</v>
      </c>
      <c r="E319" t="s">
        <v>16</v>
      </c>
      <c r="F319" t="s">
        <v>17</v>
      </c>
      <c r="G319">
        <v>1</v>
      </c>
      <c r="H319">
        <v>586.66666666666663</v>
      </c>
    </row>
    <row r="320" spans="1:8" x14ac:dyDescent="0.25">
      <c r="A320" t="s">
        <v>76</v>
      </c>
      <c r="B320" t="s">
        <v>77</v>
      </c>
      <c r="C320" t="s">
        <v>7</v>
      </c>
      <c r="D320" t="s">
        <v>583</v>
      </c>
      <c r="E320" t="s">
        <v>446</v>
      </c>
      <c r="F320" t="s">
        <v>199</v>
      </c>
      <c r="H320">
        <v>-13.333333333333334</v>
      </c>
    </row>
    <row r="321" spans="1:8" x14ac:dyDescent="0.25">
      <c r="A321" t="s">
        <v>76</v>
      </c>
      <c r="B321" t="s">
        <v>77</v>
      </c>
      <c r="C321" t="s">
        <v>10</v>
      </c>
      <c r="D321" t="s">
        <v>584</v>
      </c>
      <c r="E321" t="s">
        <v>58</v>
      </c>
      <c r="F321" t="s">
        <v>12</v>
      </c>
      <c r="H321">
        <v>9.3333333333333339</v>
      </c>
    </row>
    <row r="322" spans="1:8" x14ac:dyDescent="0.25">
      <c r="A322" t="s">
        <v>76</v>
      </c>
      <c r="B322" t="s">
        <v>77</v>
      </c>
      <c r="C322" t="s">
        <v>13</v>
      </c>
      <c r="D322" t="s">
        <v>585</v>
      </c>
      <c r="E322" t="s">
        <v>447</v>
      </c>
      <c r="F322" t="s">
        <v>14</v>
      </c>
      <c r="G322">
        <v>800</v>
      </c>
      <c r="H322">
        <v>-9.3333333333333339</v>
      </c>
    </row>
    <row r="323" spans="1:8" x14ac:dyDescent="0.25">
      <c r="A323" t="s">
        <v>76</v>
      </c>
      <c r="B323" t="s">
        <v>77</v>
      </c>
      <c r="C323" t="s">
        <v>15</v>
      </c>
      <c r="D323" t="s">
        <v>586</v>
      </c>
      <c r="E323" t="s">
        <v>16</v>
      </c>
      <c r="F323" t="s">
        <v>17</v>
      </c>
      <c r="G323">
        <v>1</v>
      </c>
      <c r="H323">
        <v>291.46666666666664</v>
      </c>
    </row>
    <row r="324" spans="1:8" x14ac:dyDescent="0.25">
      <c r="A324" t="s">
        <v>76</v>
      </c>
      <c r="B324" t="s">
        <v>77</v>
      </c>
      <c r="C324" t="s">
        <v>15</v>
      </c>
      <c r="D324" t="s">
        <v>587</v>
      </c>
      <c r="E324" t="s">
        <v>16</v>
      </c>
      <c r="F324" t="s">
        <v>17</v>
      </c>
      <c r="G324">
        <v>1</v>
      </c>
      <c r="H324">
        <v>42.31666666666667</v>
      </c>
    </row>
    <row r="325" spans="1:8" x14ac:dyDescent="0.25">
      <c r="A325" t="s">
        <v>76</v>
      </c>
      <c r="B325" t="s">
        <v>77</v>
      </c>
      <c r="C325" t="s">
        <v>7</v>
      </c>
      <c r="D325" t="s">
        <v>588</v>
      </c>
      <c r="E325" t="s">
        <v>448</v>
      </c>
      <c r="F325" t="s">
        <v>220</v>
      </c>
      <c r="H325">
        <v>-2.2666666666666666</v>
      </c>
    </row>
    <row r="326" spans="1:8" x14ac:dyDescent="0.25">
      <c r="A326" t="s">
        <v>76</v>
      </c>
      <c r="B326" t="s">
        <v>77</v>
      </c>
      <c r="C326" t="s">
        <v>7</v>
      </c>
      <c r="D326" t="s">
        <v>588</v>
      </c>
      <c r="E326" t="s">
        <v>449</v>
      </c>
      <c r="F326" t="s">
        <v>220</v>
      </c>
      <c r="H326">
        <v>-2.2666666666666666</v>
      </c>
    </row>
    <row r="327" spans="1:8" x14ac:dyDescent="0.25">
      <c r="A327" t="s">
        <v>76</v>
      </c>
      <c r="B327" t="s">
        <v>77</v>
      </c>
      <c r="C327" t="s">
        <v>7</v>
      </c>
      <c r="D327" t="s">
        <v>589</v>
      </c>
      <c r="E327" t="s">
        <v>450</v>
      </c>
      <c r="F327" t="s">
        <v>8</v>
      </c>
      <c r="H327">
        <v>-1.6666666666666667</v>
      </c>
    </row>
    <row r="328" spans="1:8" x14ac:dyDescent="0.25">
      <c r="A328" t="s">
        <v>76</v>
      </c>
      <c r="B328" t="s">
        <v>77</v>
      </c>
      <c r="C328" t="s">
        <v>7</v>
      </c>
      <c r="D328" t="s">
        <v>589</v>
      </c>
      <c r="E328" t="s">
        <v>451</v>
      </c>
      <c r="F328" t="s">
        <v>8</v>
      </c>
      <c r="H328">
        <v>-1.6666666666666667</v>
      </c>
    </row>
    <row r="329" spans="1:8" x14ac:dyDescent="0.25">
      <c r="A329" t="s">
        <v>76</v>
      </c>
      <c r="B329" t="s">
        <v>77</v>
      </c>
      <c r="C329" t="s">
        <v>7</v>
      </c>
      <c r="D329" t="s">
        <v>590</v>
      </c>
      <c r="E329" t="s">
        <v>452</v>
      </c>
      <c r="F329" t="s">
        <v>220</v>
      </c>
      <c r="H329">
        <v>-2.2666666666666666</v>
      </c>
    </row>
    <row r="330" spans="1:8" x14ac:dyDescent="0.25">
      <c r="A330" t="s">
        <v>76</v>
      </c>
      <c r="B330" t="s">
        <v>77</v>
      </c>
      <c r="C330" t="s">
        <v>7</v>
      </c>
      <c r="D330" t="s">
        <v>590</v>
      </c>
      <c r="E330" t="s">
        <v>453</v>
      </c>
      <c r="F330" t="s">
        <v>220</v>
      </c>
      <c r="H330">
        <v>-2.2666666666666666</v>
      </c>
    </row>
    <row r="331" spans="1:8" x14ac:dyDescent="0.25">
      <c r="A331" t="s">
        <v>76</v>
      </c>
      <c r="B331" t="s">
        <v>77</v>
      </c>
      <c r="C331" t="s">
        <v>13</v>
      </c>
      <c r="D331" t="s">
        <v>591</v>
      </c>
      <c r="E331" t="s">
        <v>454</v>
      </c>
      <c r="F331" t="s">
        <v>14</v>
      </c>
      <c r="G331">
        <v>797</v>
      </c>
      <c r="H331">
        <v>-9.3333333333333339</v>
      </c>
    </row>
    <row r="332" spans="1:8" x14ac:dyDescent="0.25">
      <c r="A332" t="s">
        <v>76</v>
      </c>
      <c r="B332" t="s">
        <v>77</v>
      </c>
      <c r="C332" t="s">
        <v>13</v>
      </c>
      <c r="D332" t="s">
        <v>591</v>
      </c>
      <c r="E332" t="s">
        <v>455</v>
      </c>
      <c r="F332" t="s">
        <v>14</v>
      </c>
      <c r="G332">
        <v>799</v>
      </c>
      <c r="H332">
        <v>-9.3333333333333339</v>
      </c>
    </row>
    <row r="333" spans="1:8" x14ac:dyDescent="0.25">
      <c r="A333" t="s">
        <v>76</v>
      </c>
      <c r="B333" t="s">
        <v>77</v>
      </c>
      <c r="C333" t="s">
        <v>10</v>
      </c>
      <c r="D333" s="1">
        <v>45476</v>
      </c>
      <c r="E333" t="s">
        <v>59</v>
      </c>
      <c r="F333" t="s">
        <v>57</v>
      </c>
      <c r="H333">
        <v>2</v>
      </c>
    </row>
    <row r="334" spans="1:8" x14ac:dyDescent="0.25">
      <c r="A334" t="s">
        <v>76</v>
      </c>
      <c r="B334" t="s">
        <v>77</v>
      </c>
      <c r="C334" t="s">
        <v>10</v>
      </c>
      <c r="D334" s="1">
        <v>45476</v>
      </c>
      <c r="E334" t="s">
        <v>59</v>
      </c>
      <c r="F334" t="s">
        <v>57</v>
      </c>
      <c r="H334">
        <v>2.2666666666666666</v>
      </c>
    </row>
    <row r="335" spans="1:8" x14ac:dyDescent="0.25">
      <c r="A335" t="s">
        <v>76</v>
      </c>
      <c r="B335" t="s">
        <v>77</v>
      </c>
      <c r="C335" t="s">
        <v>10</v>
      </c>
      <c r="D335" s="1">
        <v>45476</v>
      </c>
      <c r="E335" t="s">
        <v>59</v>
      </c>
      <c r="F335" t="s">
        <v>57</v>
      </c>
      <c r="H335">
        <v>2.2666666666666666</v>
      </c>
    </row>
    <row r="336" spans="1:8" x14ac:dyDescent="0.25">
      <c r="A336" t="s">
        <v>76</v>
      </c>
      <c r="B336" t="s">
        <v>77</v>
      </c>
      <c r="C336" t="s">
        <v>10</v>
      </c>
      <c r="D336" s="1">
        <v>45476</v>
      </c>
      <c r="E336" t="s">
        <v>59</v>
      </c>
      <c r="F336" t="s">
        <v>57</v>
      </c>
      <c r="H336">
        <v>2.2666666666666666</v>
      </c>
    </row>
    <row r="337" spans="1:8" x14ac:dyDescent="0.25">
      <c r="A337" t="s">
        <v>76</v>
      </c>
      <c r="B337" t="s">
        <v>77</v>
      </c>
      <c r="C337" t="s">
        <v>7</v>
      </c>
      <c r="D337" s="1">
        <v>45446</v>
      </c>
      <c r="E337" t="s">
        <v>456</v>
      </c>
      <c r="F337" t="s">
        <v>220</v>
      </c>
      <c r="H337">
        <v>-2.2666666666666666</v>
      </c>
    </row>
    <row r="338" spans="1:8" x14ac:dyDescent="0.25">
      <c r="A338" t="s">
        <v>76</v>
      </c>
      <c r="B338" t="s">
        <v>77</v>
      </c>
      <c r="C338" t="s">
        <v>7</v>
      </c>
      <c r="D338" s="1">
        <v>45415</v>
      </c>
      <c r="E338" t="s">
        <v>457</v>
      </c>
      <c r="F338" t="s">
        <v>220</v>
      </c>
      <c r="H338">
        <v>-2.2666666666666666</v>
      </c>
    </row>
    <row r="339" spans="1:8" x14ac:dyDescent="0.25">
      <c r="A339" t="s">
        <v>76</v>
      </c>
      <c r="B339" t="s">
        <v>77</v>
      </c>
      <c r="C339" t="s">
        <v>7</v>
      </c>
      <c r="D339" s="1">
        <v>45415</v>
      </c>
      <c r="E339" t="s">
        <v>458</v>
      </c>
      <c r="F339" t="s">
        <v>220</v>
      </c>
      <c r="H339">
        <v>-2</v>
      </c>
    </row>
    <row r="340" spans="1:8" x14ac:dyDescent="0.25">
      <c r="A340" t="s">
        <v>76</v>
      </c>
      <c r="B340" t="s">
        <v>77</v>
      </c>
      <c r="C340" t="s">
        <v>7</v>
      </c>
      <c r="D340" s="1">
        <v>45415</v>
      </c>
      <c r="E340" t="s">
        <v>459</v>
      </c>
      <c r="F340" t="s">
        <v>8</v>
      </c>
      <c r="H340">
        <v>-6.2</v>
      </c>
    </row>
    <row r="341" spans="1:8" x14ac:dyDescent="0.25">
      <c r="A341" t="s">
        <v>76</v>
      </c>
      <c r="B341" t="s">
        <v>77</v>
      </c>
      <c r="C341" t="s">
        <v>10</v>
      </c>
      <c r="D341" s="1">
        <v>45415</v>
      </c>
      <c r="E341" t="s">
        <v>60</v>
      </c>
      <c r="F341" t="s">
        <v>12</v>
      </c>
      <c r="H341">
        <v>20</v>
      </c>
    </row>
    <row r="342" spans="1:8" x14ac:dyDescent="0.25">
      <c r="A342" t="s">
        <v>76</v>
      </c>
      <c r="B342" t="s">
        <v>77</v>
      </c>
      <c r="C342" t="s">
        <v>7</v>
      </c>
      <c r="D342" s="1">
        <v>45385</v>
      </c>
      <c r="E342" t="s">
        <v>460</v>
      </c>
      <c r="F342" t="s">
        <v>8</v>
      </c>
      <c r="H342">
        <v>-3.3333333333333335</v>
      </c>
    </row>
    <row r="343" spans="1:8" x14ac:dyDescent="0.25">
      <c r="A343" t="s">
        <v>76</v>
      </c>
      <c r="B343" t="s">
        <v>77</v>
      </c>
      <c r="C343" t="s">
        <v>10</v>
      </c>
      <c r="D343" s="1">
        <v>45385</v>
      </c>
      <c r="E343" t="s">
        <v>61</v>
      </c>
      <c r="F343" t="s">
        <v>9</v>
      </c>
      <c r="H343">
        <v>23.333333333333332</v>
      </c>
    </row>
    <row r="344" spans="1:8" x14ac:dyDescent="0.25">
      <c r="A344" t="s">
        <v>76</v>
      </c>
      <c r="B344" t="s">
        <v>77</v>
      </c>
      <c r="C344" t="s">
        <v>7</v>
      </c>
      <c r="D344" s="1">
        <v>45294</v>
      </c>
      <c r="E344" t="s">
        <v>461</v>
      </c>
      <c r="F344" t="s">
        <v>220</v>
      </c>
      <c r="H344">
        <v>-2.2666666666666666</v>
      </c>
    </row>
    <row r="345" spans="1:8" x14ac:dyDescent="0.25">
      <c r="A345" t="s">
        <v>76</v>
      </c>
      <c r="B345" t="s">
        <v>77</v>
      </c>
      <c r="C345" t="s">
        <v>13</v>
      </c>
      <c r="D345" t="s">
        <v>592</v>
      </c>
      <c r="E345" t="s">
        <v>462</v>
      </c>
      <c r="F345" t="s">
        <v>14</v>
      </c>
      <c r="G345">
        <v>788</v>
      </c>
      <c r="H345">
        <v>-264.33333333333331</v>
      </c>
    </row>
    <row r="346" spans="1:8" x14ac:dyDescent="0.25">
      <c r="A346" t="s">
        <v>76</v>
      </c>
      <c r="B346" t="s">
        <v>77</v>
      </c>
      <c r="C346" t="s">
        <v>13</v>
      </c>
      <c r="D346" t="s">
        <v>593</v>
      </c>
      <c r="E346" t="s">
        <v>463</v>
      </c>
      <c r="F346" t="s">
        <v>14</v>
      </c>
      <c r="G346">
        <v>796</v>
      </c>
      <c r="H346">
        <v>-9.3333333333333339</v>
      </c>
    </row>
    <row r="347" spans="1:8" x14ac:dyDescent="0.25">
      <c r="A347" t="s">
        <v>76</v>
      </c>
      <c r="B347" t="s">
        <v>77</v>
      </c>
      <c r="C347" t="s">
        <v>13</v>
      </c>
      <c r="D347" t="s">
        <v>593</v>
      </c>
      <c r="E347" t="s">
        <v>464</v>
      </c>
      <c r="F347" t="s">
        <v>14</v>
      </c>
      <c r="G347">
        <v>795</v>
      </c>
      <c r="H347">
        <v>-9.3333333333333339</v>
      </c>
    </row>
    <row r="348" spans="1:8" x14ac:dyDescent="0.25">
      <c r="A348" t="s">
        <v>76</v>
      </c>
      <c r="B348" t="s">
        <v>77</v>
      </c>
      <c r="C348" t="s">
        <v>7</v>
      </c>
      <c r="D348" t="s">
        <v>594</v>
      </c>
      <c r="E348" t="s">
        <v>465</v>
      </c>
      <c r="F348" t="s">
        <v>208</v>
      </c>
      <c r="H348">
        <v>-133.33333333333334</v>
      </c>
    </row>
    <row r="349" spans="1:8" x14ac:dyDescent="0.25">
      <c r="A349" t="s">
        <v>76</v>
      </c>
      <c r="B349" t="s">
        <v>77</v>
      </c>
      <c r="C349" t="s">
        <v>13</v>
      </c>
      <c r="D349" t="s">
        <v>594</v>
      </c>
      <c r="E349" t="s">
        <v>466</v>
      </c>
      <c r="F349" t="s">
        <v>14</v>
      </c>
      <c r="G349">
        <v>794</v>
      </c>
      <c r="H349">
        <v>-226.66666666666666</v>
      </c>
    </row>
    <row r="350" spans="1:8" x14ac:dyDescent="0.25">
      <c r="A350" t="s">
        <v>76</v>
      </c>
      <c r="B350" t="s">
        <v>77</v>
      </c>
      <c r="C350" t="s">
        <v>10</v>
      </c>
      <c r="D350" t="s">
        <v>594</v>
      </c>
      <c r="E350" t="s">
        <v>62</v>
      </c>
      <c r="F350" t="s">
        <v>9</v>
      </c>
      <c r="H350">
        <v>80</v>
      </c>
    </row>
    <row r="351" spans="1:8" x14ac:dyDescent="0.25">
      <c r="A351" t="s">
        <v>76</v>
      </c>
      <c r="B351" t="s">
        <v>77</v>
      </c>
      <c r="C351" t="s">
        <v>7</v>
      </c>
      <c r="D351" t="s">
        <v>595</v>
      </c>
      <c r="E351" t="s">
        <v>467</v>
      </c>
      <c r="F351" t="s">
        <v>8</v>
      </c>
      <c r="H351">
        <v>-3.3333333333333335</v>
      </c>
    </row>
    <row r="352" spans="1:8" x14ac:dyDescent="0.25">
      <c r="A352" t="s">
        <v>76</v>
      </c>
      <c r="B352" t="s">
        <v>77</v>
      </c>
      <c r="C352" t="s">
        <v>7</v>
      </c>
      <c r="D352" t="s">
        <v>595</v>
      </c>
      <c r="E352" t="s">
        <v>468</v>
      </c>
      <c r="F352" t="s">
        <v>8</v>
      </c>
      <c r="H352">
        <v>-12.6</v>
      </c>
    </row>
    <row r="353" spans="1:8" x14ac:dyDescent="0.25">
      <c r="A353" t="s">
        <v>76</v>
      </c>
      <c r="B353" t="s">
        <v>77</v>
      </c>
      <c r="C353" t="s">
        <v>7</v>
      </c>
      <c r="D353" t="s">
        <v>596</v>
      </c>
      <c r="E353" t="s">
        <v>469</v>
      </c>
      <c r="F353" t="s">
        <v>199</v>
      </c>
      <c r="H353">
        <v>-16</v>
      </c>
    </row>
    <row r="354" spans="1:8" x14ac:dyDescent="0.25">
      <c r="A354" t="s">
        <v>76</v>
      </c>
      <c r="B354" t="s">
        <v>77</v>
      </c>
      <c r="C354" t="s">
        <v>7</v>
      </c>
      <c r="D354" t="s">
        <v>596</v>
      </c>
      <c r="E354" t="s">
        <v>470</v>
      </c>
      <c r="F354" t="s">
        <v>196</v>
      </c>
      <c r="H354">
        <v>-43.627333333333333</v>
      </c>
    </row>
    <row r="355" spans="1:8" x14ac:dyDescent="0.25">
      <c r="A355" t="s">
        <v>76</v>
      </c>
      <c r="B355" t="s">
        <v>77</v>
      </c>
      <c r="C355" t="s">
        <v>10</v>
      </c>
      <c r="D355" t="s">
        <v>597</v>
      </c>
      <c r="E355" t="s">
        <v>63</v>
      </c>
      <c r="F355" t="s">
        <v>12</v>
      </c>
      <c r="H355">
        <v>97.066666666666663</v>
      </c>
    </row>
    <row r="356" spans="1:8" x14ac:dyDescent="0.25">
      <c r="A356" t="s">
        <v>76</v>
      </c>
      <c r="B356" t="s">
        <v>77</v>
      </c>
      <c r="C356" t="s">
        <v>7</v>
      </c>
      <c r="D356" t="s">
        <v>598</v>
      </c>
      <c r="E356" t="s">
        <v>471</v>
      </c>
      <c r="F356" t="s">
        <v>220</v>
      </c>
      <c r="H356">
        <v>-1.6666666666666667</v>
      </c>
    </row>
    <row r="357" spans="1:8" x14ac:dyDescent="0.25">
      <c r="A357" t="s">
        <v>76</v>
      </c>
      <c r="B357" t="s">
        <v>77</v>
      </c>
      <c r="C357" t="s">
        <v>7</v>
      </c>
      <c r="D357" t="s">
        <v>598</v>
      </c>
      <c r="E357" t="s">
        <v>472</v>
      </c>
      <c r="F357" t="s">
        <v>199</v>
      </c>
      <c r="H357">
        <v>-10.666666666666666</v>
      </c>
    </row>
    <row r="358" spans="1:8" x14ac:dyDescent="0.25">
      <c r="A358" t="s">
        <v>76</v>
      </c>
      <c r="B358" t="s">
        <v>77</v>
      </c>
      <c r="C358" t="s">
        <v>7</v>
      </c>
      <c r="D358" t="s">
        <v>598</v>
      </c>
      <c r="E358" t="s">
        <v>473</v>
      </c>
      <c r="F358" t="s">
        <v>474</v>
      </c>
      <c r="H358">
        <v>-272.57266666666669</v>
      </c>
    </row>
    <row r="359" spans="1:8" x14ac:dyDescent="0.25">
      <c r="A359" t="s">
        <v>76</v>
      </c>
      <c r="B359" t="s">
        <v>77</v>
      </c>
      <c r="C359" t="s">
        <v>10</v>
      </c>
      <c r="D359" t="s">
        <v>598</v>
      </c>
      <c r="E359" t="s">
        <v>64</v>
      </c>
      <c r="F359" t="s">
        <v>12</v>
      </c>
      <c r="H359">
        <v>164.83333333333334</v>
      </c>
    </row>
    <row r="360" spans="1:8" x14ac:dyDescent="0.25">
      <c r="A360" t="s">
        <v>76</v>
      </c>
      <c r="B360" t="s">
        <v>77</v>
      </c>
      <c r="C360" t="s">
        <v>7</v>
      </c>
      <c r="D360" t="s">
        <v>599</v>
      </c>
      <c r="E360" t="s">
        <v>458</v>
      </c>
      <c r="F360" t="s">
        <v>220</v>
      </c>
      <c r="H360">
        <v>-2</v>
      </c>
    </row>
    <row r="361" spans="1:8" x14ac:dyDescent="0.25">
      <c r="A361" t="s">
        <v>76</v>
      </c>
      <c r="B361" t="s">
        <v>77</v>
      </c>
      <c r="C361" t="s">
        <v>13</v>
      </c>
      <c r="D361" t="s">
        <v>599</v>
      </c>
      <c r="E361" t="s">
        <v>475</v>
      </c>
      <c r="F361" t="s">
        <v>14</v>
      </c>
      <c r="G361">
        <v>701</v>
      </c>
      <c r="H361">
        <v>-5.333333333333333</v>
      </c>
    </row>
    <row r="362" spans="1:8" x14ac:dyDescent="0.25">
      <c r="A362" t="s">
        <v>76</v>
      </c>
      <c r="B362" t="s">
        <v>77</v>
      </c>
      <c r="C362" t="s">
        <v>13</v>
      </c>
      <c r="D362" t="s">
        <v>599</v>
      </c>
      <c r="E362" t="s">
        <v>476</v>
      </c>
      <c r="F362" t="s">
        <v>14</v>
      </c>
      <c r="G362">
        <v>793</v>
      </c>
      <c r="H362">
        <v>-9.3333333333333339</v>
      </c>
    </row>
    <row r="363" spans="1:8" x14ac:dyDescent="0.25">
      <c r="A363" t="s">
        <v>76</v>
      </c>
      <c r="B363" t="s">
        <v>77</v>
      </c>
      <c r="C363" t="s">
        <v>7</v>
      </c>
      <c r="D363" t="s">
        <v>600</v>
      </c>
      <c r="E363" t="s">
        <v>477</v>
      </c>
      <c r="F363" t="s">
        <v>8</v>
      </c>
      <c r="H363">
        <v>-6.5326666666666666</v>
      </c>
    </row>
    <row r="364" spans="1:8" x14ac:dyDescent="0.25">
      <c r="A364" t="s">
        <v>76</v>
      </c>
      <c r="B364" t="s">
        <v>77</v>
      </c>
      <c r="C364" t="s">
        <v>10</v>
      </c>
      <c r="D364" s="1">
        <v>45537</v>
      </c>
      <c r="E364" t="s">
        <v>65</v>
      </c>
      <c r="F364" t="s">
        <v>12</v>
      </c>
      <c r="H364">
        <v>233.33333333333334</v>
      </c>
    </row>
    <row r="365" spans="1:8" x14ac:dyDescent="0.25">
      <c r="A365" t="s">
        <v>76</v>
      </c>
      <c r="B365" t="s">
        <v>77</v>
      </c>
      <c r="C365" t="s">
        <v>7</v>
      </c>
      <c r="D365" s="1">
        <v>45475</v>
      </c>
      <c r="E365" t="s">
        <v>478</v>
      </c>
      <c r="F365" t="s">
        <v>196</v>
      </c>
      <c r="H365">
        <v>-0.59866666666666668</v>
      </c>
    </row>
    <row r="366" spans="1:8" x14ac:dyDescent="0.25">
      <c r="A366" t="s">
        <v>76</v>
      </c>
      <c r="B366" t="s">
        <v>77</v>
      </c>
      <c r="C366" t="s">
        <v>7</v>
      </c>
      <c r="D366" s="1">
        <v>45414</v>
      </c>
      <c r="E366" t="s">
        <v>479</v>
      </c>
      <c r="F366" t="s">
        <v>196</v>
      </c>
      <c r="H366">
        <v>-0.59866666666666668</v>
      </c>
    </row>
    <row r="367" spans="1:8" x14ac:dyDescent="0.25">
      <c r="A367" t="s">
        <v>76</v>
      </c>
      <c r="B367" t="s">
        <v>77</v>
      </c>
      <c r="C367" t="s">
        <v>7</v>
      </c>
      <c r="D367" s="1">
        <v>45293</v>
      </c>
      <c r="E367" t="s">
        <v>480</v>
      </c>
      <c r="F367" t="s">
        <v>280</v>
      </c>
      <c r="H367">
        <v>-23.4</v>
      </c>
    </row>
    <row r="368" spans="1:8" x14ac:dyDescent="0.25">
      <c r="A368" t="s">
        <v>76</v>
      </c>
      <c r="B368" t="s">
        <v>77</v>
      </c>
      <c r="C368" t="s">
        <v>10</v>
      </c>
      <c r="D368" s="1">
        <v>45293</v>
      </c>
      <c r="E368" t="s">
        <v>66</v>
      </c>
      <c r="F368" t="s">
        <v>57</v>
      </c>
      <c r="H368">
        <v>1</v>
      </c>
    </row>
    <row r="369" spans="1:8" x14ac:dyDescent="0.25">
      <c r="A369" t="s">
        <v>76</v>
      </c>
      <c r="B369" t="s">
        <v>77</v>
      </c>
      <c r="C369" t="s">
        <v>7</v>
      </c>
      <c r="D369" t="s">
        <v>601</v>
      </c>
      <c r="E369" t="s">
        <v>334</v>
      </c>
      <c r="F369" t="s">
        <v>220</v>
      </c>
      <c r="H369">
        <v>-1</v>
      </c>
    </row>
    <row r="370" spans="1:8" x14ac:dyDescent="0.25">
      <c r="A370" t="s">
        <v>76</v>
      </c>
      <c r="B370" t="s">
        <v>77</v>
      </c>
      <c r="C370" t="s">
        <v>10</v>
      </c>
      <c r="D370" t="s">
        <v>602</v>
      </c>
      <c r="E370" t="s">
        <v>67</v>
      </c>
      <c r="F370" t="s">
        <v>12</v>
      </c>
      <c r="H370">
        <v>13.333333333333334</v>
      </c>
    </row>
    <row r="371" spans="1:8" x14ac:dyDescent="0.25">
      <c r="A371" t="s">
        <v>76</v>
      </c>
      <c r="B371" t="s">
        <v>77</v>
      </c>
      <c r="C371" t="s">
        <v>7</v>
      </c>
      <c r="D371" t="s">
        <v>603</v>
      </c>
      <c r="E371" t="s">
        <v>481</v>
      </c>
      <c r="F371" t="s">
        <v>8</v>
      </c>
      <c r="H371">
        <v>-2.7213333333333334</v>
      </c>
    </row>
    <row r="372" spans="1:8" x14ac:dyDescent="0.25">
      <c r="A372" t="s">
        <v>76</v>
      </c>
      <c r="B372" t="s">
        <v>77</v>
      </c>
      <c r="C372" t="s">
        <v>7</v>
      </c>
      <c r="D372" t="s">
        <v>603</v>
      </c>
      <c r="E372" t="s">
        <v>482</v>
      </c>
      <c r="F372" t="s">
        <v>8</v>
      </c>
      <c r="H372">
        <v>-5.333333333333333</v>
      </c>
    </row>
    <row r="373" spans="1:8" x14ac:dyDescent="0.25">
      <c r="A373" t="s">
        <v>76</v>
      </c>
      <c r="B373" t="s">
        <v>77</v>
      </c>
      <c r="C373" t="s">
        <v>10</v>
      </c>
      <c r="D373" t="s">
        <v>603</v>
      </c>
      <c r="E373" t="s">
        <v>68</v>
      </c>
      <c r="F373" t="s">
        <v>9</v>
      </c>
      <c r="H373">
        <v>100</v>
      </c>
    </row>
    <row r="374" spans="1:8" x14ac:dyDescent="0.25">
      <c r="A374" t="s">
        <v>76</v>
      </c>
      <c r="B374" t="s">
        <v>77</v>
      </c>
      <c r="C374" t="s">
        <v>10</v>
      </c>
      <c r="D374" t="s">
        <v>603</v>
      </c>
      <c r="E374" t="s">
        <v>69</v>
      </c>
      <c r="F374" t="s">
        <v>12</v>
      </c>
      <c r="H374">
        <v>164.83333333333334</v>
      </c>
    </row>
    <row r="375" spans="1:8" x14ac:dyDescent="0.25">
      <c r="A375" t="s">
        <v>76</v>
      </c>
      <c r="B375" t="s">
        <v>77</v>
      </c>
      <c r="C375" t="s">
        <v>13</v>
      </c>
      <c r="D375" t="s">
        <v>604</v>
      </c>
      <c r="E375" t="s">
        <v>483</v>
      </c>
      <c r="F375" t="s">
        <v>14</v>
      </c>
      <c r="G375">
        <v>792</v>
      </c>
      <c r="H375">
        <v>-9.3333333333333339</v>
      </c>
    </row>
    <row r="376" spans="1:8" x14ac:dyDescent="0.25">
      <c r="A376" t="s">
        <v>76</v>
      </c>
      <c r="B376" t="s">
        <v>77</v>
      </c>
      <c r="C376" t="s">
        <v>13</v>
      </c>
      <c r="D376" t="s">
        <v>605</v>
      </c>
      <c r="E376" t="s">
        <v>484</v>
      </c>
      <c r="F376" t="s">
        <v>14</v>
      </c>
      <c r="G376">
        <v>776</v>
      </c>
      <c r="H376">
        <v>-733.33333333333337</v>
      </c>
    </row>
    <row r="377" spans="1:8" x14ac:dyDescent="0.25">
      <c r="A377" t="s">
        <v>76</v>
      </c>
      <c r="B377" t="s">
        <v>77</v>
      </c>
      <c r="C377" t="s">
        <v>7</v>
      </c>
      <c r="D377" t="s">
        <v>605</v>
      </c>
      <c r="E377" t="s">
        <v>485</v>
      </c>
      <c r="F377" t="s">
        <v>8</v>
      </c>
      <c r="H377">
        <v>-392.97</v>
      </c>
    </row>
    <row r="378" spans="1:8" x14ac:dyDescent="0.25">
      <c r="A378" t="s">
        <v>76</v>
      </c>
      <c r="B378" t="s">
        <v>77</v>
      </c>
      <c r="C378" t="s">
        <v>7</v>
      </c>
      <c r="D378" t="s">
        <v>605</v>
      </c>
      <c r="E378" t="s">
        <v>486</v>
      </c>
      <c r="F378" t="s">
        <v>196</v>
      </c>
      <c r="H378">
        <v>-43.627333333333333</v>
      </c>
    </row>
    <row r="379" spans="1:8" x14ac:dyDescent="0.25">
      <c r="A379" t="s">
        <v>76</v>
      </c>
      <c r="B379" t="s">
        <v>77</v>
      </c>
      <c r="C379" t="s">
        <v>10</v>
      </c>
      <c r="D379" t="s">
        <v>606</v>
      </c>
      <c r="E379" t="s">
        <v>59</v>
      </c>
      <c r="F379" t="s">
        <v>57</v>
      </c>
      <c r="H379">
        <v>2.2666666666666666</v>
      </c>
    </row>
    <row r="380" spans="1:8" x14ac:dyDescent="0.25">
      <c r="A380" t="s">
        <v>76</v>
      </c>
      <c r="B380" t="s">
        <v>77</v>
      </c>
      <c r="C380" t="s">
        <v>10</v>
      </c>
      <c r="D380" t="s">
        <v>606</v>
      </c>
      <c r="E380" t="s">
        <v>59</v>
      </c>
      <c r="F380" t="s">
        <v>57</v>
      </c>
      <c r="H380">
        <v>2.2666666666666666</v>
      </c>
    </row>
    <row r="381" spans="1:8" x14ac:dyDescent="0.25">
      <c r="A381" t="s">
        <v>76</v>
      </c>
      <c r="B381" t="s">
        <v>77</v>
      </c>
      <c r="C381" t="s">
        <v>10</v>
      </c>
      <c r="D381" t="s">
        <v>606</v>
      </c>
      <c r="E381" t="s">
        <v>59</v>
      </c>
      <c r="F381" t="s">
        <v>57</v>
      </c>
      <c r="H381">
        <v>2.2666666666666666</v>
      </c>
    </row>
    <row r="382" spans="1:8" x14ac:dyDescent="0.25">
      <c r="A382" t="s">
        <v>76</v>
      </c>
      <c r="B382" t="s">
        <v>77</v>
      </c>
      <c r="C382" t="s">
        <v>7</v>
      </c>
      <c r="D382" t="s">
        <v>607</v>
      </c>
      <c r="E382" t="s">
        <v>487</v>
      </c>
      <c r="F382" t="s">
        <v>220</v>
      </c>
      <c r="H382">
        <v>-2.2666666666666666</v>
      </c>
    </row>
    <row r="383" spans="1:8" x14ac:dyDescent="0.25">
      <c r="A383" t="s">
        <v>76</v>
      </c>
      <c r="B383" t="s">
        <v>77</v>
      </c>
      <c r="C383" t="s">
        <v>7</v>
      </c>
      <c r="D383" t="s">
        <v>607</v>
      </c>
      <c r="E383" t="s">
        <v>488</v>
      </c>
      <c r="F383" t="s">
        <v>220</v>
      </c>
      <c r="H383">
        <v>-2.2666666666666666</v>
      </c>
    </row>
    <row r="384" spans="1:8" x14ac:dyDescent="0.25">
      <c r="A384" t="s">
        <v>76</v>
      </c>
      <c r="B384" t="s">
        <v>77</v>
      </c>
      <c r="C384" t="s">
        <v>7</v>
      </c>
      <c r="D384" t="s">
        <v>608</v>
      </c>
      <c r="E384" t="s">
        <v>489</v>
      </c>
      <c r="F384" t="s">
        <v>8</v>
      </c>
      <c r="H384">
        <v>-5.333333333333333</v>
      </c>
    </row>
    <row r="385" spans="1:8" x14ac:dyDescent="0.25">
      <c r="A385" t="s">
        <v>76</v>
      </c>
      <c r="B385" t="s">
        <v>77</v>
      </c>
      <c r="C385" t="s">
        <v>13</v>
      </c>
      <c r="D385" t="s">
        <v>608</v>
      </c>
      <c r="E385" t="s">
        <v>490</v>
      </c>
      <c r="F385" t="s">
        <v>14</v>
      </c>
      <c r="G385">
        <v>791</v>
      </c>
      <c r="H385">
        <v>-9.3333333333333339</v>
      </c>
    </row>
    <row r="386" spans="1:8" x14ac:dyDescent="0.25">
      <c r="A386" t="s">
        <v>76</v>
      </c>
      <c r="B386" t="s">
        <v>77</v>
      </c>
      <c r="C386" t="s">
        <v>7</v>
      </c>
      <c r="D386" t="s">
        <v>609</v>
      </c>
      <c r="E386" t="s">
        <v>491</v>
      </c>
      <c r="F386" t="s">
        <v>220</v>
      </c>
      <c r="H386">
        <v>-2.2666666666666666</v>
      </c>
    </row>
    <row r="387" spans="1:8" x14ac:dyDescent="0.25">
      <c r="A387" t="s">
        <v>76</v>
      </c>
      <c r="B387" t="s">
        <v>77</v>
      </c>
      <c r="C387" t="s">
        <v>7</v>
      </c>
      <c r="D387" t="s">
        <v>609</v>
      </c>
      <c r="E387" t="s">
        <v>492</v>
      </c>
      <c r="F387" t="s">
        <v>220</v>
      </c>
      <c r="H387">
        <v>-2.2666666666666666</v>
      </c>
    </row>
    <row r="388" spans="1:8" x14ac:dyDescent="0.25">
      <c r="A388" t="s">
        <v>76</v>
      </c>
      <c r="B388" t="s">
        <v>77</v>
      </c>
      <c r="C388" t="s">
        <v>7</v>
      </c>
      <c r="D388" t="s">
        <v>610</v>
      </c>
      <c r="E388" t="s">
        <v>493</v>
      </c>
      <c r="F388" t="s">
        <v>8</v>
      </c>
      <c r="H388">
        <v>-6.5326666666666666</v>
      </c>
    </row>
    <row r="389" spans="1:8" x14ac:dyDescent="0.25">
      <c r="A389" t="s">
        <v>76</v>
      </c>
      <c r="B389" t="s">
        <v>77</v>
      </c>
      <c r="C389" t="s">
        <v>7</v>
      </c>
      <c r="D389" t="s">
        <v>610</v>
      </c>
      <c r="E389" t="s">
        <v>494</v>
      </c>
      <c r="F389" t="s">
        <v>8</v>
      </c>
      <c r="H389">
        <v>-357.95466666666664</v>
      </c>
    </row>
    <row r="390" spans="1:8" x14ac:dyDescent="0.25">
      <c r="A390" t="s">
        <v>76</v>
      </c>
      <c r="B390" t="s">
        <v>77</v>
      </c>
      <c r="C390" t="s">
        <v>15</v>
      </c>
      <c r="D390" t="s">
        <v>610</v>
      </c>
      <c r="E390" t="s">
        <v>16</v>
      </c>
      <c r="F390" t="s">
        <v>17</v>
      </c>
      <c r="G390">
        <v>1</v>
      </c>
      <c r="H390">
        <v>45.333333333333336</v>
      </c>
    </row>
    <row r="391" spans="1:8" x14ac:dyDescent="0.25">
      <c r="A391" t="s">
        <v>76</v>
      </c>
      <c r="B391" t="s">
        <v>77</v>
      </c>
      <c r="C391" t="s">
        <v>15</v>
      </c>
      <c r="D391" t="s">
        <v>610</v>
      </c>
      <c r="E391" t="s">
        <v>16</v>
      </c>
      <c r="F391" t="s">
        <v>17</v>
      </c>
      <c r="G391">
        <v>1</v>
      </c>
      <c r="H391">
        <v>201</v>
      </c>
    </row>
    <row r="392" spans="1:8" x14ac:dyDescent="0.25">
      <c r="A392" t="s">
        <v>76</v>
      </c>
      <c r="B392" t="s">
        <v>77</v>
      </c>
      <c r="C392" t="s">
        <v>15</v>
      </c>
      <c r="D392" t="s">
        <v>610</v>
      </c>
      <c r="E392" t="s">
        <v>16</v>
      </c>
      <c r="F392" t="s">
        <v>17</v>
      </c>
      <c r="G392">
        <v>1</v>
      </c>
      <c r="H392">
        <v>1406.2666666666667</v>
      </c>
    </row>
    <row r="393" spans="1:8" x14ac:dyDescent="0.25">
      <c r="A393" t="s">
        <v>76</v>
      </c>
      <c r="B393" t="s">
        <v>77</v>
      </c>
      <c r="C393" t="s">
        <v>13</v>
      </c>
      <c r="D393" s="1">
        <v>45566</v>
      </c>
      <c r="E393" t="s">
        <v>495</v>
      </c>
      <c r="F393" t="s">
        <v>14</v>
      </c>
      <c r="G393">
        <v>789</v>
      </c>
      <c r="H393">
        <v>-9.3333333333333339</v>
      </c>
    </row>
    <row r="394" spans="1:8" x14ac:dyDescent="0.25">
      <c r="A394" t="s">
        <v>76</v>
      </c>
      <c r="B394" t="s">
        <v>77</v>
      </c>
      <c r="C394" t="s">
        <v>13</v>
      </c>
      <c r="D394" s="1">
        <v>45566</v>
      </c>
      <c r="E394" t="s">
        <v>496</v>
      </c>
      <c r="F394" t="s">
        <v>14</v>
      </c>
      <c r="G394">
        <v>790</v>
      </c>
      <c r="H394">
        <v>-9.3333333333333339</v>
      </c>
    </row>
    <row r="395" spans="1:8" x14ac:dyDescent="0.25">
      <c r="A395" t="s">
        <v>76</v>
      </c>
      <c r="B395" t="s">
        <v>77</v>
      </c>
      <c r="C395" t="s">
        <v>7</v>
      </c>
      <c r="D395" s="1">
        <v>45566</v>
      </c>
      <c r="E395" t="s">
        <v>497</v>
      </c>
      <c r="F395" t="s">
        <v>280</v>
      </c>
      <c r="H395">
        <v>-23.4</v>
      </c>
    </row>
    <row r="396" spans="1:8" x14ac:dyDescent="0.25">
      <c r="A396" t="s">
        <v>76</v>
      </c>
      <c r="B396" t="s">
        <v>77</v>
      </c>
      <c r="C396" t="s">
        <v>10</v>
      </c>
      <c r="D396" s="1">
        <v>45566</v>
      </c>
      <c r="E396" t="s">
        <v>70</v>
      </c>
      <c r="F396" t="s">
        <v>9</v>
      </c>
      <c r="H396">
        <v>12</v>
      </c>
    </row>
    <row r="397" spans="1:8" x14ac:dyDescent="0.25">
      <c r="A397" t="s">
        <v>76</v>
      </c>
      <c r="B397" t="s">
        <v>77</v>
      </c>
      <c r="C397" t="s">
        <v>7</v>
      </c>
      <c r="D397" s="1">
        <v>45536</v>
      </c>
      <c r="E397" t="s">
        <v>498</v>
      </c>
      <c r="F397" t="s">
        <v>196</v>
      </c>
      <c r="H397">
        <v>-1.3333333333333333</v>
      </c>
    </row>
    <row r="398" spans="1:8" x14ac:dyDescent="0.25">
      <c r="A398" t="s">
        <v>76</v>
      </c>
      <c r="B398" t="s">
        <v>77</v>
      </c>
      <c r="C398" t="s">
        <v>7</v>
      </c>
      <c r="D398" s="1">
        <v>45505</v>
      </c>
      <c r="E398" t="s">
        <v>499</v>
      </c>
      <c r="F398" t="s">
        <v>199</v>
      </c>
      <c r="H398">
        <v>-2.6666666666666665</v>
      </c>
    </row>
    <row r="399" spans="1:8" x14ac:dyDescent="0.25">
      <c r="A399" t="s">
        <v>76</v>
      </c>
      <c r="B399" t="s">
        <v>77</v>
      </c>
      <c r="C399" t="s">
        <v>7</v>
      </c>
      <c r="D399" s="1">
        <v>45413</v>
      </c>
      <c r="E399" t="s">
        <v>500</v>
      </c>
      <c r="F399" t="s">
        <v>8</v>
      </c>
      <c r="H399">
        <v>-2.3333333333333335</v>
      </c>
    </row>
    <row r="400" spans="1:8" x14ac:dyDescent="0.25">
      <c r="A400" t="s">
        <v>76</v>
      </c>
      <c r="B400" t="s">
        <v>77</v>
      </c>
      <c r="C400" t="s">
        <v>7</v>
      </c>
      <c r="D400" s="1">
        <v>45352</v>
      </c>
      <c r="E400" t="s">
        <v>501</v>
      </c>
      <c r="F400" t="s">
        <v>8</v>
      </c>
      <c r="H400">
        <v>-3.3333333333333335</v>
      </c>
    </row>
    <row r="401" spans="1:8" x14ac:dyDescent="0.25">
      <c r="A401" t="s">
        <v>76</v>
      </c>
      <c r="B401" t="s">
        <v>77</v>
      </c>
      <c r="C401" t="s">
        <v>10</v>
      </c>
      <c r="D401" s="1">
        <v>45323</v>
      </c>
      <c r="E401" t="s">
        <v>71</v>
      </c>
      <c r="F401" t="s">
        <v>12</v>
      </c>
      <c r="H401">
        <v>9.3333333333333339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DF90-3E19-4D62-B25E-160B3C3D10A7}">
  <dimension ref="A1:H68"/>
  <sheetViews>
    <sheetView workbookViewId="0">
      <selection activeCell="E15" sqref="E15"/>
    </sheetView>
  </sheetViews>
  <sheetFormatPr defaultRowHeight="15" x14ac:dyDescent="0.25"/>
  <cols>
    <col min="2" max="2" width="14.7109375" bestFit="1" customWidth="1"/>
    <col min="3" max="3" width="10.140625" bestFit="1" customWidth="1"/>
    <col min="4" max="4" width="28" bestFit="1" customWidth="1"/>
    <col min="5" max="5" width="18.7109375" bestFit="1" customWidth="1"/>
    <col min="7" max="7" width="12" customWidth="1"/>
  </cols>
  <sheetData>
    <row r="1" spans="1:8" s="4" customFormat="1" x14ac:dyDescent="0.25">
      <c r="A1" s="4" t="s">
        <v>125</v>
      </c>
      <c r="B1" s="4" t="s">
        <v>124</v>
      </c>
      <c r="C1" s="4" t="s">
        <v>123</v>
      </c>
      <c r="D1" s="4" t="s">
        <v>2</v>
      </c>
      <c r="E1" s="4" t="s">
        <v>122</v>
      </c>
      <c r="F1" s="4" t="s">
        <v>4</v>
      </c>
      <c r="G1" s="4" t="s">
        <v>3</v>
      </c>
      <c r="H1" s="4" t="s">
        <v>121</v>
      </c>
    </row>
    <row r="2" spans="1:8" x14ac:dyDescent="0.25">
      <c r="A2">
        <v>3909</v>
      </c>
      <c r="B2" s="1"/>
      <c r="C2" s="1"/>
      <c r="D2" t="s">
        <v>103</v>
      </c>
      <c r="E2" t="s">
        <v>102</v>
      </c>
      <c r="F2" t="s">
        <v>90</v>
      </c>
    </row>
    <row r="3" spans="1:8" x14ac:dyDescent="0.25">
      <c r="A3">
        <v>3909</v>
      </c>
      <c r="B3" s="1"/>
      <c r="C3" s="1"/>
      <c r="D3" t="s">
        <v>111</v>
      </c>
      <c r="F3" t="s">
        <v>105</v>
      </c>
    </row>
    <row r="4" spans="1:8" x14ac:dyDescent="0.25">
      <c r="A4">
        <v>3909</v>
      </c>
      <c r="B4" s="1"/>
      <c r="C4" s="1"/>
      <c r="D4" t="s">
        <v>103</v>
      </c>
      <c r="E4" t="s">
        <v>102</v>
      </c>
      <c r="F4" t="s">
        <v>90</v>
      </c>
    </row>
    <row r="5" spans="1:8" x14ac:dyDescent="0.25">
      <c r="A5">
        <v>3909</v>
      </c>
      <c r="B5" s="1"/>
      <c r="C5" s="1"/>
      <c r="D5" t="s">
        <v>106</v>
      </c>
      <c r="F5" t="s">
        <v>105</v>
      </c>
    </row>
    <row r="6" spans="1:8" x14ac:dyDescent="0.25">
      <c r="A6">
        <v>3909</v>
      </c>
      <c r="B6" s="1"/>
      <c r="C6" s="1"/>
      <c r="D6" t="s">
        <v>92</v>
      </c>
      <c r="E6" t="s">
        <v>91</v>
      </c>
      <c r="F6" t="s">
        <v>90</v>
      </c>
    </row>
    <row r="7" spans="1:8" x14ac:dyDescent="0.25">
      <c r="A7">
        <v>3909</v>
      </c>
      <c r="B7" s="1"/>
      <c r="C7" s="1"/>
      <c r="D7" t="s">
        <v>120</v>
      </c>
      <c r="E7" t="s">
        <v>95</v>
      </c>
      <c r="F7" t="s">
        <v>90</v>
      </c>
    </row>
    <row r="8" spans="1:8" x14ac:dyDescent="0.25">
      <c r="A8">
        <v>3909</v>
      </c>
      <c r="B8" s="1"/>
      <c r="C8" s="1"/>
      <c r="D8" t="s">
        <v>119</v>
      </c>
      <c r="E8" t="s">
        <v>118</v>
      </c>
      <c r="F8" t="s">
        <v>90</v>
      </c>
    </row>
    <row r="9" spans="1:8" x14ac:dyDescent="0.25">
      <c r="A9">
        <v>3909</v>
      </c>
      <c r="B9" s="1"/>
      <c r="C9" s="1"/>
      <c r="D9" t="s">
        <v>117</v>
      </c>
      <c r="E9" t="s">
        <v>95</v>
      </c>
      <c r="F9" t="s">
        <v>90</v>
      </c>
    </row>
    <row r="10" spans="1:8" x14ac:dyDescent="0.25">
      <c r="A10">
        <v>3909</v>
      </c>
      <c r="B10" s="1"/>
      <c r="C10" s="1"/>
      <c r="D10" t="s">
        <v>103</v>
      </c>
      <c r="E10" t="s">
        <v>102</v>
      </c>
      <c r="F10" t="s">
        <v>90</v>
      </c>
    </row>
    <row r="11" spans="1:8" x14ac:dyDescent="0.25">
      <c r="A11">
        <v>3909</v>
      </c>
      <c r="B11" s="1"/>
      <c r="C11" s="1"/>
      <c r="D11" t="s">
        <v>106</v>
      </c>
      <c r="F11" t="s">
        <v>105</v>
      </c>
    </row>
    <row r="12" spans="1:8" x14ac:dyDescent="0.25">
      <c r="A12">
        <v>3909</v>
      </c>
      <c r="B12" s="1"/>
      <c r="C12" s="1"/>
      <c r="D12" t="s">
        <v>116</v>
      </c>
      <c r="E12" t="s">
        <v>95</v>
      </c>
      <c r="F12" t="s">
        <v>90</v>
      </c>
    </row>
    <row r="13" spans="1:8" x14ac:dyDescent="0.25">
      <c r="A13">
        <v>3909</v>
      </c>
      <c r="B13" s="1"/>
      <c r="C13" s="1"/>
      <c r="D13" t="s">
        <v>115</v>
      </c>
      <c r="E13" t="s">
        <v>95</v>
      </c>
      <c r="F13" t="s">
        <v>90</v>
      </c>
    </row>
    <row r="14" spans="1:8" x14ac:dyDescent="0.25">
      <c r="A14">
        <v>3909</v>
      </c>
      <c r="B14" s="1"/>
      <c r="C14" s="1"/>
      <c r="D14" t="s">
        <v>106</v>
      </c>
      <c r="F14" t="s">
        <v>105</v>
      </c>
    </row>
    <row r="15" spans="1:8" x14ac:dyDescent="0.25">
      <c r="A15">
        <v>3909</v>
      </c>
      <c r="B15" s="1"/>
      <c r="C15" s="1"/>
      <c r="D15" t="s">
        <v>89</v>
      </c>
      <c r="E15" t="s">
        <v>88</v>
      </c>
      <c r="F15" t="s">
        <v>87</v>
      </c>
    </row>
    <row r="16" spans="1:8" x14ac:dyDescent="0.25">
      <c r="A16">
        <v>3909</v>
      </c>
      <c r="B16" s="1"/>
      <c r="C16" s="1"/>
      <c r="D16" t="s">
        <v>106</v>
      </c>
      <c r="F16" t="s">
        <v>105</v>
      </c>
    </row>
    <row r="17" spans="1:6" x14ac:dyDescent="0.25">
      <c r="A17">
        <v>3909</v>
      </c>
      <c r="B17" s="1"/>
      <c r="C17" s="1"/>
      <c r="D17" t="s">
        <v>103</v>
      </c>
      <c r="E17" t="s">
        <v>102</v>
      </c>
      <c r="F17" t="s">
        <v>90</v>
      </c>
    </row>
    <row r="18" spans="1:6" x14ac:dyDescent="0.25">
      <c r="A18">
        <v>3909</v>
      </c>
      <c r="B18" s="1"/>
      <c r="C18" s="1"/>
      <c r="D18" t="s">
        <v>111</v>
      </c>
      <c r="F18" t="s">
        <v>105</v>
      </c>
    </row>
    <row r="19" spans="1:6" x14ac:dyDescent="0.25">
      <c r="A19">
        <v>3909</v>
      </c>
      <c r="B19" s="1"/>
      <c r="C19" s="1"/>
      <c r="D19" t="s">
        <v>89</v>
      </c>
      <c r="E19" t="s">
        <v>88</v>
      </c>
      <c r="F19" t="s">
        <v>87</v>
      </c>
    </row>
    <row r="20" spans="1:6" x14ac:dyDescent="0.25">
      <c r="A20">
        <v>3909</v>
      </c>
      <c r="B20" s="1"/>
      <c r="C20" s="1"/>
      <c r="D20" t="s">
        <v>103</v>
      </c>
      <c r="E20" t="s">
        <v>102</v>
      </c>
      <c r="F20" t="s">
        <v>90</v>
      </c>
    </row>
    <row r="21" spans="1:6" x14ac:dyDescent="0.25">
      <c r="A21">
        <v>3909</v>
      </c>
      <c r="B21" s="1"/>
      <c r="C21" s="1"/>
      <c r="D21" t="s">
        <v>111</v>
      </c>
      <c r="F21" t="s">
        <v>105</v>
      </c>
    </row>
    <row r="22" spans="1:6" x14ac:dyDescent="0.25">
      <c r="A22">
        <v>3909</v>
      </c>
      <c r="B22" s="1"/>
      <c r="C22" s="1"/>
      <c r="D22" t="s">
        <v>89</v>
      </c>
      <c r="E22" t="s">
        <v>88</v>
      </c>
      <c r="F22" t="s">
        <v>87</v>
      </c>
    </row>
    <row r="23" spans="1:6" x14ac:dyDescent="0.25">
      <c r="A23">
        <v>3909</v>
      </c>
      <c r="B23" s="1"/>
      <c r="C23" s="1"/>
      <c r="D23" t="s">
        <v>103</v>
      </c>
      <c r="E23" t="s">
        <v>102</v>
      </c>
      <c r="F23" t="s">
        <v>90</v>
      </c>
    </row>
    <row r="24" spans="1:6" x14ac:dyDescent="0.25">
      <c r="A24">
        <v>3909</v>
      </c>
      <c r="B24" s="1"/>
      <c r="C24" s="1"/>
      <c r="D24" t="s">
        <v>111</v>
      </c>
      <c r="F24" t="s">
        <v>105</v>
      </c>
    </row>
    <row r="25" spans="1:6" x14ac:dyDescent="0.25">
      <c r="A25">
        <v>3909</v>
      </c>
      <c r="B25" s="1"/>
      <c r="C25" s="1"/>
      <c r="D25" t="s">
        <v>89</v>
      </c>
      <c r="E25" t="s">
        <v>88</v>
      </c>
      <c r="F25" t="s">
        <v>87</v>
      </c>
    </row>
    <row r="26" spans="1:6" x14ac:dyDescent="0.25">
      <c r="A26">
        <v>3909</v>
      </c>
      <c r="B26" s="1"/>
      <c r="C26" s="1"/>
      <c r="D26" t="s">
        <v>103</v>
      </c>
      <c r="E26" t="s">
        <v>102</v>
      </c>
      <c r="F26" t="s">
        <v>90</v>
      </c>
    </row>
    <row r="27" spans="1:6" x14ac:dyDescent="0.25">
      <c r="A27">
        <v>3909</v>
      </c>
      <c r="B27" s="1"/>
      <c r="C27" s="1"/>
      <c r="D27" t="s">
        <v>111</v>
      </c>
      <c r="F27" t="s">
        <v>105</v>
      </c>
    </row>
    <row r="28" spans="1:6" x14ac:dyDescent="0.25">
      <c r="A28">
        <v>3909</v>
      </c>
      <c r="B28" s="1"/>
      <c r="C28" s="1"/>
      <c r="D28" t="s">
        <v>89</v>
      </c>
      <c r="E28" t="s">
        <v>88</v>
      </c>
      <c r="F28" t="s">
        <v>87</v>
      </c>
    </row>
    <row r="29" spans="1:6" x14ac:dyDescent="0.25">
      <c r="A29">
        <v>3909</v>
      </c>
      <c r="B29" s="1"/>
      <c r="C29" s="1"/>
      <c r="D29" t="s">
        <v>103</v>
      </c>
      <c r="E29" t="s">
        <v>102</v>
      </c>
      <c r="F29" t="s">
        <v>90</v>
      </c>
    </row>
    <row r="30" spans="1:6" x14ac:dyDescent="0.25">
      <c r="A30">
        <v>3909</v>
      </c>
      <c r="B30" s="1"/>
      <c r="C30" s="1"/>
      <c r="D30" t="s">
        <v>111</v>
      </c>
      <c r="F30" t="s">
        <v>105</v>
      </c>
    </row>
    <row r="31" spans="1:6" x14ac:dyDescent="0.25">
      <c r="A31">
        <v>3909</v>
      </c>
      <c r="B31" s="1"/>
      <c r="C31" s="1"/>
      <c r="D31" t="s">
        <v>89</v>
      </c>
      <c r="E31" t="s">
        <v>88</v>
      </c>
      <c r="F31" t="s">
        <v>87</v>
      </c>
    </row>
    <row r="32" spans="1:6" x14ac:dyDescent="0.25">
      <c r="A32">
        <v>3909</v>
      </c>
      <c r="B32" s="1"/>
      <c r="C32" s="1"/>
      <c r="D32" t="s">
        <v>103</v>
      </c>
      <c r="E32" t="s">
        <v>102</v>
      </c>
      <c r="F32" t="s">
        <v>90</v>
      </c>
    </row>
    <row r="33" spans="1:6" x14ac:dyDescent="0.25">
      <c r="A33">
        <v>3909</v>
      </c>
      <c r="B33" s="1"/>
      <c r="C33" s="1"/>
      <c r="D33" t="s">
        <v>106</v>
      </c>
      <c r="F33" t="s">
        <v>105</v>
      </c>
    </row>
    <row r="34" spans="1:6" x14ac:dyDescent="0.25">
      <c r="A34">
        <v>3909</v>
      </c>
      <c r="B34" s="1"/>
      <c r="C34" s="1"/>
      <c r="D34" t="s">
        <v>89</v>
      </c>
      <c r="E34" t="s">
        <v>88</v>
      </c>
      <c r="F34" t="s">
        <v>87</v>
      </c>
    </row>
    <row r="35" spans="1:6" x14ac:dyDescent="0.25">
      <c r="A35">
        <v>3909</v>
      </c>
      <c r="B35" s="1"/>
      <c r="C35" s="1"/>
      <c r="D35" t="s">
        <v>114</v>
      </c>
      <c r="F35" t="s">
        <v>105</v>
      </c>
    </row>
    <row r="36" spans="1:6" x14ac:dyDescent="0.25">
      <c r="A36">
        <v>3909</v>
      </c>
      <c r="B36" s="1"/>
      <c r="C36" s="1"/>
      <c r="D36" t="s">
        <v>113</v>
      </c>
      <c r="F36" t="s">
        <v>112</v>
      </c>
    </row>
    <row r="37" spans="1:6" x14ac:dyDescent="0.25">
      <c r="A37">
        <v>3909</v>
      </c>
      <c r="B37" s="1"/>
      <c r="C37" s="1"/>
      <c r="D37" t="s">
        <v>103</v>
      </c>
      <c r="E37" t="s">
        <v>102</v>
      </c>
      <c r="F37" t="s">
        <v>90</v>
      </c>
    </row>
    <row r="38" spans="1:6" x14ac:dyDescent="0.25">
      <c r="A38">
        <v>3909</v>
      </c>
      <c r="B38" s="1"/>
      <c r="C38" s="1"/>
      <c r="D38" t="s">
        <v>100</v>
      </c>
      <c r="E38" t="s">
        <v>88</v>
      </c>
      <c r="F38" t="s">
        <v>87</v>
      </c>
    </row>
    <row r="39" spans="1:6" x14ac:dyDescent="0.25">
      <c r="A39">
        <v>3909</v>
      </c>
      <c r="B39" s="1"/>
      <c r="C39" s="1"/>
      <c r="D39" t="s">
        <v>111</v>
      </c>
      <c r="F39" t="s">
        <v>105</v>
      </c>
    </row>
    <row r="40" spans="1:6" x14ac:dyDescent="0.25">
      <c r="A40">
        <v>3909</v>
      </c>
      <c r="B40" s="1"/>
      <c r="C40" s="1"/>
      <c r="D40" t="s">
        <v>89</v>
      </c>
      <c r="E40" t="s">
        <v>88</v>
      </c>
      <c r="F40" t="s">
        <v>87</v>
      </c>
    </row>
    <row r="41" spans="1:6" x14ac:dyDescent="0.25">
      <c r="A41">
        <v>3909</v>
      </c>
      <c r="B41" s="1"/>
      <c r="C41" s="1"/>
      <c r="D41" t="s">
        <v>103</v>
      </c>
      <c r="E41" t="s">
        <v>102</v>
      </c>
      <c r="F41" t="s">
        <v>90</v>
      </c>
    </row>
    <row r="42" spans="1:6" x14ac:dyDescent="0.25">
      <c r="A42">
        <v>3909</v>
      </c>
      <c r="B42" s="1"/>
      <c r="C42" s="1"/>
      <c r="D42" t="s">
        <v>100</v>
      </c>
      <c r="E42" t="s">
        <v>88</v>
      </c>
      <c r="F42" t="s">
        <v>87</v>
      </c>
    </row>
    <row r="43" spans="1:6" x14ac:dyDescent="0.25">
      <c r="A43">
        <v>3909</v>
      </c>
      <c r="B43" s="1"/>
      <c r="C43" s="1"/>
      <c r="D43" t="s">
        <v>107</v>
      </c>
      <c r="E43" t="s">
        <v>95</v>
      </c>
      <c r="F43" t="s">
        <v>90</v>
      </c>
    </row>
    <row r="44" spans="1:6" x14ac:dyDescent="0.25">
      <c r="A44">
        <v>3909</v>
      </c>
      <c r="B44" s="1"/>
      <c r="C44" s="1"/>
      <c r="D44" t="s">
        <v>101</v>
      </c>
      <c r="E44" t="s">
        <v>95</v>
      </c>
      <c r="F44" t="s">
        <v>90</v>
      </c>
    </row>
    <row r="45" spans="1:6" x14ac:dyDescent="0.25">
      <c r="A45">
        <v>3909</v>
      </c>
      <c r="B45" s="1"/>
      <c r="C45" s="1"/>
      <c r="D45" t="s">
        <v>94</v>
      </c>
      <c r="E45" t="s">
        <v>93</v>
      </c>
      <c r="F45" t="s">
        <v>90</v>
      </c>
    </row>
    <row r="46" spans="1:6" x14ac:dyDescent="0.25">
      <c r="A46">
        <v>3909</v>
      </c>
      <c r="B46" s="1"/>
      <c r="C46" s="1"/>
      <c r="D46" t="s">
        <v>110</v>
      </c>
      <c r="E46" t="s">
        <v>109</v>
      </c>
      <c r="F46" t="s">
        <v>90</v>
      </c>
    </row>
    <row r="47" spans="1:6" x14ac:dyDescent="0.25">
      <c r="A47">
        <v>3909</v>
      </c>
      <c r="B47" s="1"/>
      <c r="C47" s="1"/>
      <c r="D47" t="s">
        <v>110</v>
      </c>
      <c r="E47" t="s">
        <v>109</v>
      </c>
      <c r="F47" t="s">
        <v>90</v>
      </c>
    </row>
    <row r="48" spans="1:6" x14ac:dyDescent="0.25">
      <c r="A48">
        <v>3909</v>
      </c>
      <c r="B48" s="1"/>
      <c r="C48" s="1"/>
      <c r="D48" t="s">
        <v>97</v>
      </c>
      <c r="E48" t="s">
        <v>95</v>
      </c>
      <c r="F48" t="s">
        <v>90</v>
      </c>
    </row>
    <row r="49" spans="1:6" x14ac:dyDescent="0.25">
      <c r="A49">
        <v>3909</v>
      </c>
      <c r="B49" s="1"/>
      <c r="C49" s="1"/>
      <c r="D49" t="s">
        <v>108</v>
      </c>
      <c r="E49" t="s">
        <v>95</v>
      </c>
      <c r="F49" t="s">
        <v>90</v>
      </c>
    </row>
    <row r="50" spans="1:6" x14ac:dyDescent="0.25">
      <c r="A50">
        <v>3909</v>
      </c>
      <c r="B50" s="1"/>
      <c r="C50" s="1"/>
      <c r="D50" t="s">
        <v>107</v>
      </c>
      <c r="E50" t="s">
        <v>95</v>
      </c>
      <c r="F50" t="s">
        <v>90</v>
      </c>
    </row>
    <row r="51" spans="1:6" x14ac:dyDescent="0.25">
      <c r="A51">
        <v>3909</v>
      </c>
      <c r="B51" s="1"/>
      <c r="C51" s="1"/>
      <c r="D51" t="s">
        <v>94</v>
      </c>
      <c r="E51" t="s">
        <v>93</v>
      </c>
      <c r="F51" t="s">
        <v>90</v>
      </c>
    </row>
    <row r="52" spans="1:6" x14ac:dyDescent="0.25">
      <c r="A52">
        <v>3909</v>
      </c>
      <c r="B52" s="1"/>
      <c r="C52" s="1"/>
      <c r="D52" t="s">
        <v>92</v>
      </c>
      <c r="E52" t="s">
        <v>91</v>
      </c>
      <c r="F52" t="s">
        <v>90</v>
      </c>
    </row>
    <row r="53" spans="1:6" x14ac:dyDescent="0.25">
      <c r="A53">
        <v>3909</v>
      </c>
      <c r="B53" s="1"/>
      <c r="C53" s="1"/>
      <c r="D53" t="s">
        <v>92</v>
      </c>
      <c r="E53" t="s">
        <v>91</v>
      </c>
      <c r="F53" t="s">
        <v>90</v>
      </c>
    </row>
    <row r="54" spans="1:6" x14ac:dyDescent="0.25">
      <c r="A54">
        <v>3909</v>
      </c>
      <c r="B54" s="1"/>
      <c r="C54" s="1"/>
      <c r="D54" t="s">
        <v>92</v>
      </c>
      <c r="E54" t="s">
        <v>91</v>
      </c>
      <c r="F54" t="s">
        <v>90</v>
      </c>
    </row>
    <row r="55" spans="1:6" x14ac:dyDescent="0.25">
      <c r="A55">
        <v>3909</v>
      </c>
      <c r="B55" s="1"/>
      <c r="C55" s="1"/>
      <c r="D55" t="s">
        <v>89</v>
      </c>
      <c r="E55" t="s">
        <v>88</v>
      </c>
      <c r="F55" t="s">
        <v>87</v>
      </c>
    </row>
    <row r="56" spans="1:6" x14ac:dyDescent="0.25">
      <c r="A56">
        <v>3909</v>
      </c>
      <c r="B56" s="1"/>
      <c r="C56" s="1"/>
      <c r="D56" t="s">
        <v>106</v>
      </c>
      <c r="F56" t="s">
        <v>105</v>
      </c>
    </row>
    <row r="57" spans="1:6" x14ac:dyDescent="0.25">
      <c r="A57">
        <v>3909</v>
      </c>
      <c r="B57" s="1"/>
      <c r="C57" s="1"/>
      <c r="D57" t="s">
        <v>101</v>
      </c>
      <c r="E57" t="s">
        <v>95</v>
      </c>
      <c r="F57" t="s">
        <v>90</v>
      </c>
    </row>
    <row r="58" spans="1:6" x14ac:dyDescent="0.25">
      <c r="A58">
        <v>3909</v>
      </c>
      <c r="B58" s="1"/>
      <c r="C58" s="1"/>
      <c r="D58" t="s">
        <v>104</v>
      </c>
      <c r="E58" t="s">
        <v>95</v>
      </c>
      <c r="F58" t="s">
        <v>90</v>
      </c>
    </row>
    <row r="59" spans="1:6" x14ac:dyDescent="0.25">
      <c r="A59">
        <v>3909</v>
      </c>
      <c r="B59" s="1"/>
      <c r="C59" s="1"/>
      <c r="D59" t="s">
        <v>103</v>
      </c>
      <c r="E59" t="s">
        <v>102</v>
      </c>
      <c r="F59" t="s">
        <v>90</v>
      </c>
    </row>
    <row r="60" spans="1:6" x14ac:dyDescent="0.25">
      <c r="A60">
        <v>3909</v>
      </c>
      <c r="B60" s="1"/>
      <c r="C60" s="1"/>
      <c r="D60" t="s">
        <v>101</v>
      </c>
      <c r="E60" t="s">
        <v>95</v>
      </c>
      <c r="F60" t="s">
        <v>90</v>
      </c>
    </row>
    <row r="61" spans="1:6" x14ac:dyDescent="0.25">
      <c r="A61">
        <v>3909</v>
      </c>
      <c r="B61" s="1"/>
      <c r="C61" s="1"/>
      <c r="D61" t="s">
        <v>100</v>
      </c>
      <c r="E61" t="s">
        <v>88</v>
      </c>
      <c r="F61" t="s">
        <v>87</v>
      </c>
    </row>
    <row r="62" spans="1:6" x14ac:dyDescent="0.25">
      <c r="A62">
        <v>3909</v>
      </c>
      <c r="B62" s="1"/>
      <c r="C62" s="1"/>
      <c r="D62" t="s">
        <v>99</v>
      </c>
      <c r="E62" t="s">
        <v>98</v>
      </c>
      <c r="F62" t="s">
        <v>90</v>
      </c>
    </row>
    <row r="63" spans="1:6" x14ac:dyDescent="0.25">
      <c r="A63">
        <v>3909</v>
      </c>
      <c r="B63" s="1"/>
      <c r="C63" s="1"/>
      <c r="D63" t="s">
        <v>97</v>
      </c>
      <c r="E63" t="s">
        <v>95</v>
      </c>
      <c r="F63" t="s">
        <v>90</v>
      </c>
    </row>
    <row r="64" spans="1:6" x14ac:dyDescent="0.25">
      <c r="A64">
        <v>3909</v>
      </c>
      <c r="B64" s="1"/>
      <c r="C64" s="1"/>
      <c r="D64" t="s">
        <v>96</v>
      </c>
      <c r="E64" t="s">
        <v>95</v>
      </c>
      <c r="F64" t="s">
        <v>90</v>
      </c>
    </row>
    <row r="65" spans="1:6" x14ac:dyDescent="0.25">
      <c r="A65">
        <v>3909</v>
      </c>
      <c r="B65" s="1"/>
      <c r="C65" s="1"/>
      <c r="D65" t="s">
        <v>94</v>
      </c>
      <c r="E65" t="s">
        <v>93</v>
      </c>
      <c r="F65" t="s">
        <v>90</v>
      </c>
    </row>
    <row r="66" spans="1:6" x14ac:dyDescent="0.25">
      <c r="A66">
        <v>3909</v>
      </c>
      <c r="B66" s="1"/>
      <c r="C66" s="1"/>
      <c r="D66" t="s">
        <v>92</v>
      </c>
      <c r="E66" t="s">
        <v>91</v>
      </c>
      <c r="F66" t="s">
        <v>90</v>
      </c>
    </row>
    <row r="67" spans="1:6" x14ac:dyDescent="0.25">
      <c r="A67">
        <v>3909</v>
      </c>
      <c r="B67" s="1"/>
      <c r="C67" s="1"/>
      <c r="D67" t="s">
        <v>92</v>
      </c>
      <c r="E67" t="s">
        <v>91</v>
      </c>
      <c r="F67" t="s">
        <v>90</v>
      </c>
    </row>
    <row r="68" spans="1:6" x14ac:dyDescent="0.25">
      <c r="A68">
        <v>3909</v>
      </c>
      <c r="B68" s="1"/>
      <c r="C68" s="1"/>
      <c r="D68" t="s">
        <v>89</v>
      </c>
      <c r="E68" t="s">
        <v>88</v>
      </c>
      <c r="F68" t="s">
        <v>87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8BA9-23A5-43CD-BF47-C5432D9652E2}">
  <dimension ref="D4:J39"/>
  <sheetViews>
    <sheetView workbookViewId="0">
      <selection activeCell="H14" sqref="H14"/>
    </sheetView>
  </sheetViews>
  <sheetFormatPr defaultRowHeight="15" x14ac:dyDescent="0.25"/>
  <cols>
    <col min="4" max="4" width="28.5703125" customWidth="1"/>
    <col min="5" max="6" width="16" style="7" customWidth="1"/>
    <col min="7" max="7" width="17.42578125" style="7" customWidth="1"/>
    <col min="8" max="8" width="15.28515625" style="14" customWidth="1"/>
    <col min="9" max="9" width="3.7109375" customWidth="1"/>
    <col min="10" max="10" width="29.7109375" customWidth="1"/>
  </cols>
  <sheetData>
    <row r="4" spans="4:10" x14ac:dyDescent="0.25">
      <c r="E4" s="11" t="s">
        <v>172</v>
      </c>
      <c r="F4" s="11" t="s">
        <v>147</v>
      </c>
      <c r="G4" s="11" t="s">
        <v>148</v>
      </c>
      <c r="H4" s="12" t="s">
        <v>149</v>
      </c>
      <c r="J4" s="13" t="s">
        <v>132</v>
      </c>
    </row>
    <row r="5" spans="4:10" x14ac:dyDescent="0.25">
      <c r="D5" s="4" t="s">
        <v>128</v>
      </c>
    </row>
    <row r="6" spans="4:10" x14ac:dyDescent="0.25">
      <c r="D6" s="4" t="s">
        <v>131</v>
      </c>
    </row>
    <row r="7" spans="4:10" s="18" customFormat="1" x14ac:dyDescent="0.25">
      <c r="D7" s="15" t="s">
        <v>150</v>
      </c>
      <c r="E7" s="16"/>
      <c r="F7" s="16"/>
      <c r="G7" s="16"/>
      <c r="H7" s="17"/>
      <c r="J7" s="19"/>
    </row>
    <row r="8" spans="4:10" s="18" customFormat="1" x14ac:dyDescent="0.25">
      <c r="D8" s="15" t="s">
        <v>151</v>
      </c>
      <c r="E8" s="16"/>
      <c r="F8" s="16"/>
      <c r="G8" s="16"/>
      <c r="H8" s="17"/>
      <c r="J8" s="19"/>
    </row>
    <row r="9" spans="4:10" x14ac:dyDescent="0.25">
      <c r="E9" s="8"/>
      <c r="F9" s="8"/>
      <c r="G9" s="8"/>
    </row>
    <row r="11" spans="4:10" x14ac:dyDescent="0.25">
      <c r="D11" s="4" t="s">
        <v>152</v>
      </c>
    </row>
    <row r="13" spans="4:10" x14ac:dyDescent="0.25">
      <c r="D13" s="4" t="s">
        <v>153</v>
      </c>
    </row>
    <row r="14" spans="4:10" x14ac:dyDescent="0.25">
      <c r="D14" s="4" t="s">
        <v>154</v>
      </c>
    </row>
    <row r="16" spans="4:10" x14ac:dyDescent="0.25">
      <c r="D16" s="4" t="s">
        <v>155</v>
      </c>
    </row>
    <row r="18" spans="4:8" x14ac:dyDescent="0.25">
      <c r="D18" s="4" t="s">
        <v>156</v>
      </c>
    </row>
    <row r="19" spans="4:8" s="18" customFormat="1" x14ac:dyDescent="0.25">
      <c r="D19" s="15" t="s">
        <v>157</v>
      </c>
      <c r="E19" s="16"/>
      <c r="F19" s="16"/>
      <c r="G19" s="16"/>
      <c r="H19" s="17"/>
    </row>
    <row r="20" spans="4:8" s="18" customFormat="1" x14ac:dyDescent="0.25">
      <c r="D20" s="15" t="s">
        <v>158</v>
      </c>
      <c r="E20" s="16"/>
      <c r="F20" s="16"/>
      <c r="G20" s="16"/>
      <c r="H20" s="17"/>
    </row>
    <row r="21" spans="4:8" x14ac:dyDescent="0.25">
      <c r="D21" s="5"/>
    </row>
    <row r="22" spans="4:8" x14ac:dyDescent="0.25">
      <c r="D22" s="20" t="s">
        <v>159</v>
      </c>
    </row>
    <row r="23" spans="4:8" s="18" customFormat="1" x14ac:dyDescent="0.25">
      <c r="D23" s="18" t="s">
        <v>160</v>
      </c>
      <c r="E23" s="16"/>
      <c r="F23" s="16"/>
      <c r="G23" s="16"/>
      <c r="H23" s="17"/>
    </row>
    <row r="24" spans="4:8" s="18" customFormat="1" x14ac:dyDescent="0.25">
      <c r="D24" s="21" t="s">
        <v>93</v>
      </c>
      <c r="E24" s="16"/>
      <c r="F24" s="16"/>
      <c r="G24" s="16"/>
      <c r="H24" s="17"/>
    </row>
    <row r="25" spans="4:8" s="18" customFormat="1" x14ac:dyDescent="0.25">
      <c r="D25" s="21" t="s">
        <v>161</v>
      </c>
      <c r="E25" s="16"/>
      <c r="F25" s="16"/>
      <c r="G25" s="16"/>
      <c r="H25" s="17"/>
    </row>
    <row r="26" spans="4:8" s="18" customFormat="1" x14ac:dyDescent="0.25">
      <c r="D26" s="21" t="s">
        <v>162</v>
      </c>
      <c r="E26" s="16"/>
      <c r="F26" s="16"/>
      <c r="G26" s="16"/>
      <c r="H26" s="17"/>
    </row>
    <row r="27" spans="4:8" s="18" customFormat="1" x14ac:dyDescent="0.25">
      <c r="D27" s="18" t="s">
        <v>163</v>
      </c>
      <c r="E27" s="16"/>
      <c r="F27" s="16"/>
      <c r="G27" s="16"/>
      <c r="H27" s="17"/>
    </row>
    <row r="28" spans="4:8" s="18" customFormat="1" x14ac:dyDescent="0.25">
      <c r="D28" s="18" t="s">
        <v>133</v>
      </c>
      <c r="E28" s="16"/>
      <c r="F28" s="16"/>
      <c r="G28" s="16"/>
      <c r="H28" s="17"/>
    </row>
    <row r="29" spans="4:8" s="18" customFormat="1" x14ac:dyDescent="0.25">
      <c r="D29" s="18" t="s">
        <v>164</v>
      </c>
      <c r="E29" s="16"/>
      <c r="F29" s="22"/>
      <c r="G29" s="16"/>
      <c r="H29" s="17"/>
    </row>
    <row r="30" spans="4:8" s="18" customFormat="1" x14ac:dyDescent="0.25">
      <c r="D30" s="18" t="s">
        <v>165</v>
      </c>
      <c r="E30" s="16"/>
      <c r="F30" s="16"/>
      <c r="G30" s="16"/>
      <c r="H30" s="17"/>
    </row>
    <row r="31" spans="4:8" s="18" customFormat="1" x14ac:dyDescent="0.25">
      <c r="D31" s="18" t="s">
        <v>166</v>
      </c>
      <c r="E31" s="16"/>
      <c r="F31" s="16"/>
      <c r="G31" s="16"/>
      <c r="H31" s="17"/>
    </row>
    <row r="32" spans="4:8" s="18" customFormat="1" x14ac:dyDescent="0.25">
      <c r="D32" s="18" t="s">
        <v>167</v>
      </c>
      <c r="E32" s="16"/>
      <c r="F32" s="16"/>
      <c r="G32" s="16"/>
      <c r="H32" s="17"/>
    </row>
    <row r="33" spans="4:5" x14ac:dyDescent="0.25">
      <c r="D33" s="18" t="s">
        <v>168</v>
      </c>
      <c r="E33" s="16"/>
    </row>
    <row r="34" spans="4:5" x14ac:dyDescent="0.25">
      <c r="D34" s="18" t="s">
        <v>169</v>
      </c>
      <c r="E34" s="16"/>
    </row>
    <row r="35" spans="4:5" x14ac:dyDescent="0.25">
      <c r="D35" s="18" t="s">
        <v>173</v>
      </c>
      <c r="E35" s="16"/>
    </row>
    <row r="36" spans="4:5" x14ac:dyDescent="0.25">
      <c r="D36" s="4" t="s">
        <v>170</v>
      </c>
    </row>
    <row r="37" spans="4:5" x14ac:dyDescent="0.25">
      <c r="E37" s="16"/>
    </row>
    <row r="38" spans="4:5" x14ac:dyDescent="0.25">
      <c r="E38" s="16"/>
    </row>
    <row r="39" spans="4:5" x14ac:dyDescent="0.25">
      <c r="D3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 - Bank Exp</vt:lpstr>
      <vt:lpstr>Pivot - Bank Rev</vt:lpstr>
      <vt:lpstr>Income_Expense</vt:lpstr>
      <vt:lpstr>Bank Activity</vt:lpstr>
      <vt:lpstr>Pivot - CC Expenses</vt:lpstr>
      <vt:lpstr>Lookup</vt:lpstr>
      <vt:lpstr>All Transactions</vt:lpstr>
      <vt:lpstr>Credit Card Expenses</vt:lpstr>
      <vt:lpstr>Tax 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RASRICH TAX LLC</dc:creator>
  <cp:lastModifiedBy>uma n</cp:lastModifiedBy>
  <dcterms:created xsi:type="dcterms:W3CDTF">2025-02-26T04:08:02Z</dcterms:created>
  <dcterms:modified xsi:type="dcterms:W3CDTF">2026-03-10T10:15:45Z</dcterms:modified>
</cp:coreProperties>
</file>